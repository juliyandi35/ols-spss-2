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Kerjaan\Project 5405\"/>
    </mc:Choice>
  </mc:AlternateContent>
  <xr:revisionPtr revIDLastSave="0" documentId="13_ncr:1_{690339C1-0C5B-4596-964B-36667DF7AEE7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Daftar Perusahaan" sheetId="1" r:id="rId1"/>
    <sheet name="Kriteria 1" sheetId="2" r:id="rId2"/>
    <sheet name="Kriteria 2" sheetId="3" r:id="rId3"/>
    <sheet name="Kriteria 3" sheetId="5" r:id="rId4"/>
    <sheet name="Kriteria 4" sheetId="7" r:id="rId5"/>
    <sheet name="AUDELAY" sheetId="12" r:id="rId6"/>
    <sheet name="SIZE" sheetId="15" r:id="rId7"/>
    <sheet name="ROA" sheetId="16" r:id="rId8"/>
    <sheet name="DAR" sheetId="17" r:id="rId9"/>
    <sheet name="KAP" sheetId="21" r:id="rId10"/>
    <sheet name="OA" sheetId="22" r:id="rId11"/>
    <sheet name="Tabulasi Data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9" i="12" l="1"/>
  <c r="G248" i="12"/>
  <c r="G245" i="12"/>
  <c r="G244" i="12"/>
  <c r="G243" i="12"/>
  <c r="G241" i="12"/>
  <c r="G242" i="12"/>
  <c r="G237" i="12"/>
  <c r="G235" i="12"/>
  <c r="G227" i="12"/>
  <c r="G225" i="12"/>
  <c r="G224" i="12"/>
  <c r="G223" i="12"/>
  <c r="G222" i="12"/>
  <c r="G221" i="12"/>
  <c r="G219" i="12"/>
  <c r="G218" i="12"/>
  <c r="G217" i="12"/>
  <c r="G216" i="12"/>
  <c r="G215" i="12"/>
  <c r="G214" i="12"/>
  <c r="G213" i="12"/>
  <c r="G211" i="12"/>
  <c r="G210" i="12"/>
  <c r="G209" i="12"/>
  <c r="G208" i="12"/>
  <c r="G207" i="12"/>
  <c r="G206" i="12"/>
  <c r="G205" i="12"/>
  <c r="G204" i="12"/>
  <c r="G203" i="12"/>
  <c r="G202" i="12"/>
  <c r="G201" i="12"/>
  <c r="G199" i="12"/>
  <c r="G198" i="12"/>
  <c r="G197" i="12"/>
  <c r="G194" i="12"/>
  <c r="G193" i="12"/>
  <c r="G192" i="12"/>
  <c r="G190" i="12"/>
  <c r="G187" i="12"/>
  <c r="G186" i="12"/>
  <c r="G185" i="12"/>
  <c r="G183" i="12"/>
  <c r="G184" i="12"/>
  <c r="G181" i="12"/>
  <c r="G182" i="12"/>
  <c r="G180" i="12"/>
  <c r="G179" i="12"/>
  <c r="G177" i="12"/>
  <c r="G178" i="12"/>
  <c r="G176" i="12"/>
  <c r="G175" i="12"/>
  <c r="G174" i="12"/>
  <c r="G171" i="12"/>
  <c r="G166" i="12"/>
  <c r="G165" i="12"/>
  <c r="G163" i="12"/>
  <c r="G162" i="12"/>
  <c r="G161" i="12"/>
  <c r="G160" i="12"/>
  <c r="G159" i="12"/>
  <c r="G158" i="12"/>
  <c r="G157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1" i="12"/>
  <c r="G140" i="12"/>
  <c r="G139" i="12"/>
  <c r="G137" i="12"/>
  <c r="G136" i="12"/>
  <c r="G135" i="12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" i="19"/>
  <c r="G134" i="12"/>
  <c r="G133" i="12"/>
  <c r="G132" i="12"/>
  <c r="G130" i="12"/>
  <c r="G129" i="12"/>
  <c r="G128" i="12"/>
  <c r="G127" i="12"/>
  <c r="G126" i="12"/>
  <c r="G124" i="12"/>
  <c r="G123" i="12"/>
  <c r="G121" i="12"/>
  <c r="G120" i="12"/>
  <c r="G119" i="12"/>
  <c r="G118" i="12"/>
  <c r="G114" i="12"/>
  <c r="G113" i="12"/>
  <c r="G110" i="12"/>
  <c r="G109" i="12"/>
  <c r="G106" i="12"/>
  <c r="G105" i="12"/>
  <c r="G101" i="12"/>
  <c r="G99" i="12"/>
  <c r="G98" i="12"/>
  <c r="G94" i="12"/>
  <c r="G92" i="12"/>
  <c r="G91" i="12"/>
  <c r="G90" i="12"/>
  <c r="G83" i="12"/>
  <c r="G82" i="12"/>
  <c r="G81" i="12"/>
  <c r="G80" i="12"/>
  <c r="G79" i="12"/>
  <c r="G74" i="12"/>
  <c r="G72" i="12"/>
  <c r="G71" i="12"/>
  <c r="G68" i="12"/>
  <c r="G67" i="12"/>
  <c r="G66" i="12"/>
  <c r="E65" i="16"/>
  <c r="G65" i="12"/>
  <c r="G64" i="12"/>
  <c r="G63" i="12" l="1"/>
  <c r="G61" i="12"/>
  <c r="G60" i="12"/>
  <c r="G56" i="12"/>
  <c r="G55" i="12"/>
  <c r="G53" i="12"/>
  <c r="G52" i="12"/>
  <c r="G45" i="12"/>
  <c r="G44" i="12"/>
  <c r="G43" i="12"/>
  <c r="G41" i="12"/>
  <c r="G39" i="12"/>
  <c r="G38" i="12"/>
  <c r="G37" i="12"/>
  <c r="G36" i="12"/>
  <c r="G35" i="12"/>
  <c r="G34" i="12"/>
  <c r="G33" i="12"/>
  <c r="G31" i="12"/>
  <c r="G30" i="12"/>
  <c r="G28" i="12"/>
  <c r="G27" i="12"/>
  <c r="G26" i="12"/>
  <c r="G25" i="12"/>
  <c r="G24" i="12"/>
  <c r="G23" i="12"/>
  <c r="G22" i="12"/>
  <c r="G17" i="12"/>
  <c r="G16" i="12"/>
  <c r="G15" i="12"/>
  <c r="G14" i="12"/>
  <c r="G13" i="12"/>
  <c r="G10" i="12"/>
  <c r="G9" i="12"/>
  <c r="G8" i="12"/>
  <c r="G7" i="12"/>
  <c r="G5" i="12"/>
  <c r="G4" i="12"/>
  <c r="E3" i="16"/>
  <c r="G3" i="12"/>
  <c r="G32" i="12"/>
  <c r="G20" i="12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8" i="19"/>
  <c r="J249" i="19"/>
  <c r="J2" i="19"/>
  <c r="G6" i="12"/>
  <c r="E3" i="19" l="1"/>
  <c r="E4" i="19"/>
  <c r="E5" i="19"/>
  <c r="E6" i="19"/>
  <c r="E7" i="19"/>
  <c r="E8" i="19"/>
  <c r="E9" i="19"/>
  <c r="E10" i="19"/>
  <c r="E13" i="19"/>
  <c r="E14" i="19"/>
  <c r="E15" i="19"/>
  <c r="E16" i="19"/>
  <c r="E17" i="19"/>
  <c r="E20" i="19"/>
  <c r="E22" i="19"/>
  <c r="E23" i="19"/>
  <c r="E24" i="19"/>
  <c r="E25" i="19"/>
  <c r="E26" i="19"/>
  <c r="E27" i="19"/>
  <c r="E28" i="19"/>
  <c r="E30" i="19"/>
  <c r="E31" i="19"/>
  <c r="E32" i="19"/>
  <c r="E33" i="19"/>
  <c r="E34" i="19"/>
  <c r="E35" i="19"/>
  <c r="E36" i="19"/>
  <c r="E37" i="19"/>
  <c r="E38" i="19"/>
  <c r="E39" i="19"/>
  <c r="E41" i="19"/>
  <c r="E43" i="19"/>
  <c r="E44" i="19"/>
  <c r="E45" i="19"/>
  <c r="E52" i="19"/>
  <c r="E53" i="19"/>
  <c r="E55" i="19"/>
  <c r="E56" i="19"/>
  <c r="E60" i="19"/>
  <c r="E61" i="19"/>
  <c r="E63" i="19"/>
  <c r="E64" i="19"/>
  <c r="E65" i="19"/>
  <c r="E66" i="19"/>
  <c r="E67" i="19"/>
  <c r="E68" i="19"/>
  <c r="E71" i="19"/>
  <c r="E72" i="19"/>
  <c r="E74" i="19"/>
  <c r="E79" i="19"/>
  <c r="E80" i="19"/>
  <c r="E81" i="19"/>
  <c r="E82" i="19"/>
  <c r="E83" i="19"/>
  <c r="E90" i="19"/>
  <c r="E91" i="19"/>
  <c r="E92" i="19"/>
  <c r="E94" i="19"/>
  <c r="E98" i="19"/>
  <c r="E99" i="19"/>
  <c r="E101" i="19"/>
  <c r="E105" i="19"/>
  <c r="E106" i="19"/>
  <c r="E109" i="19"/>
  <c r="E110" i="19"/>
  <c r="E113" i="19"/>
  <c r="E114" i="19"/>
  <c r="E118" i="19"/>
  <c r="E119" i="19"/>
  <c r="E120" i="19"/>
  <c r="E121" i="19"/>
  <c r="E123" i="19"/>
  <c r="E124" i="19"/>
  <c r="E126" i="19"/>
  <c r="E127" i="19"/>
  <c r="E128" i="19"/>
  <c r="E129" i="19"/>
  <c r="E130" i="19"/>
  <c r="E132" i="19"/>
  <c r="E133" i="19"/>
  <c r="E134" i="19"/>
  <c r="E135" i="19"/>
  <c r="E136" i="19"/>
  <c r="E137" i="19"/>
  <c r="E139" i="19"/>
  <c r="E140" i="19"/>
  <c r="E141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7" i="19"/>
  <c r="E158" i="19"/>
  <c r="E159" i="19"/>
  <c r="E160" i="19"/>
  <c r="E161" i="19"/>
  <c r="E162" i="19"/>
  <c r="E163" i="19"/>
  <c r="E165" i="19"/>
  <c r="E166" i="19"/>
  <c r="E171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90" i="19"/>
  <c r="E192" i="19"/>
  <c r="E193" i="19"/>
  <c r="E194" i="19"/>
  <c r="E197" i="19"/>
  <c r="E198" i="19"/>
  <c r="E199" i="19"/>
  <c r="E201" i="19"/>
  <c r="E202" i="19"/>
  <c r="E203" i="19"/>
  <c r="E204" i="19"/>
  <c r="E205" i="19"/>
  <c r="E206" i="19"/>
  <c r="E207" i="19"/>
  <c r="E208" i="19"/>
  <c r="E209" i="19"/>
  <c r="E210" i="19"/>
  <c r="E211" i="19"/>
  <c r="E213" i="19"/>
  <c r="E214" i="19"/>
  <c r="E215" i="19"/>
  <c r="E216" i="19"/>
  <c r="E217" i="19"/>
  <c r="E218" i="19"/>
  <c r="E219" i="19"/>
  <c r="E221" i="19"/>
  <c r="E222" i="19"/>
  <c r="E223" i="19"/>
  <c r="E224" i="19"/>
  <c r="E225" i="19"/>
  <c r="E227" i="19"/>
  <c r="E235" i="19"/>
  <c r="E237" i="19"/>
  <c r="E241" i="19"/>
  <c r="E242" i="19"/>
  <c r="E243" i="19"/>
  <c r="E244" i="19"/>
  <c r="E245" i="19"/>
  <c r="E248" i="19"/>
  <c r="E249" i="19"/>
  <c r="G240" i="12"/>
  <c r="E240" i="19" s="1"/>
  <c r="G246" i="12"/>
  <c r="E246" i="19" s="1"/>
  <c r="G122" i="12"/>
  <c r="E122" i="19" s="1"/>
  <c r="G117" i="12"/>
  <c r="E117" i="19" s="1"/>
  <c r="G239" i="12"/>
  <c r="E239" i="19" s="1"/>
  <c r="G115" i="12"/>
  <c r="E115" i="19" s="1"/>
  <c r="G236" i="12"/>
  <c r="E236" i="19" s="1"/>
  <c r="F41" i="15" l="1"/>
  <c r="F41" i="19" s="1"/>
  <c r="G165" i="17"/>
  <c r="H165" i="19" s="1"/>
  <c r="G166" i="17"/>
  <c r="H166" i="19" s="1"/>
  <c r="F226" i="15"/>
  <c r="F226" i="19" s="1"/>
  <c r="F225" i="15"/>
  <c r="F225" i="19" s="1"/>
  <c r="F224" i="15"/>
  <c r="F224" i="19" s="1"/>
  <c r="F223" i="15"/>
  <c r="F223" i="19" s="1"/>
  <c r="F222" i="15"/>
  <c r="F222" i="19" s="1"/>
  <c r="F221" i="15"/>
  <c r="F221" i="19" s="1"/>
  <c r="F220" i="15"/>
  <c r="F220" i="19" s="1"/>
  <c r="F219" i="15"/>
  <c r="F219" i="19" s="1"/>
  <c r="F218" i="15"/>
  <c r="F218" i="19" s="1"/>
  <c r="F217" i="15"/>
  <c r="F217" i="19" s="1"/>
  <c r="F216" i="15"/>
  <c r="F216" i="19" s="1"/>
  <c r="F215" i="15"/>
  <c r="F215" i="19" s="1"/>
  <c r="F214" i="15"/>
  <c r="F214" i="19" s="1"/>
  <c r="F213" i="15"/>
  <c r="F213" i="19" s="1"/>
  <c r="F212" i="15"/>
  <c r="F212" i="19" s="1"/>
  <c r="F211" i="15"/>
  <c r="F211" i="19" s="1"/>
  <c r="F210" i="15"/>
  <c r="F210" i="19" s="1"/>
  <c r="F209" i="15"/>
  <c r="F209" i="19" s="1"/>
  <c r="F208" i="15"/>
  <c r="F208" i="19" s="1"/>
  <c r="F207" i="15"/>
  <c r="F207" i="19" s="1"/>
  <c r="F206" i="15"/>
  <c r="F206" i="19" s="1"/>
  <c r="F205" i="15"/>
  <c r="F205" i="19" s="1"/>
  <c r="F204" i="15"/>
  <c r="F204" i="19" s="1"/>
  <c r="F203" i="15"/>
  <c r="F203" i="19" s="1"/>
  <c r="F202" i="15"/>
  <c r="F202" i="19" s="1"/>
  <c r="F201" i="15"/>
  <c r="F201" i="19" s="1"/>
  <c r="F200" i="15"/>
  <c r="F200" i="19" s="1"/>
  <c r="F199" i="15"/>
  <c r="F199" i="19" s="1"/>
  <c r="F198" i="15"/>
  <c r="F198" i="19" s="1"/>
  <c r="F197" i="15"/>
  <c r="F197" i="19" s="1"/>
  <c r="F196" i="15"/>
  <c r="F196" i="19" s="1"/>
  <c r="F195" i="15"/>
  <c r="F195" i="19" s="1"/>
  <c r="F194" i="15"/>
  <c r="F194" i="19" s="1"/>
  <c r="F193" i="15"/>
  <c r="F193" i="19" s="1"/>
  <c r="F192" i="15"/>
  <c r="F192" i="19" s="1"/>
  <c r="F191" i="15"/>
  <c r="F191" i="19" s="1"/>
  <c r="F190" i="15"/>
  <c r="F190" i="19" s="1"/>
  <c r="F189" i="15"/>
  <c r="F189" i="19" s="1"/>
  <c r="F188" i="15"/>
  <c r="F188" i="19" s="1"/>
  <c r="F187" i="15"/>
  <c r="F187" i="19" s="1"/>
  <c r="F186" i="15"/>
  <c r="F186" i="19" s="1"/>
  <c r="F185" i="15"/>
  <c r="F185" i="19" s="1"/>
  <c r="F184" i="15"/>
  <c r="F184" i="19" s="1"/>
  <c r="F183" i="15"/>
  <c r="F183" i="19" s="1"/>
  <c r="F182" i="15"/>
  <c r="F182" i="19" s="1"/>
  <c r="F181" i="15"/>
  <c r="F181" i="19" s="1"/>
  <c r="F180" i="15"/>
  <c r="F180" i="19" s="1"/>
  <c r="F179" i="15"/>
  <c r="F179" i="19" s="1"/>
  <c r="F178" i="15"/>
  <c r="F178" i="19" s="1"/>
  <c r="F177" i="15"/>
  <c r="F177" i="19" s="1"/>
  <c r="F176" i="15"/>
  <c r="F176" i="19" s="1"/>
  <c r="F175" i="15"/>
  <c r="F175" i="19" s="1"/>
  <c r="F174" i="15"/>
  <c r="F174" i="19" s="1"/>
  <c r="F173" i="15"/>
  <c r="F173" i="19" s="1"/>
  <c r="F172" i="15"/>
  <c r="F172" i="19" s="1"/>
  <c r="F171" i="15"/>
  <c r="F171" i="19" s="1"/>
  <c r="F170" i="15"/>
  <c r="F170" i="19" s="1"/>
  <c r="F169" i="15"/>
  <c r="F169" i="19" s="1"/>
  <c r="F168" i="15"/>
  <c r="F168" i="19" s="1"/>
  <c r="F167" i="15"/>
  <c r="F167" i="19" s="1"/>
  <c r="F166" i="15"/>
  <c r="F166" i="19" s="1"/>
  <c r="F165" i="15"/>
  <c r="F165" i="19" s="1"/>
  <c r="F164" i="15"/>
  <c r="F164" i="19" s="1"/>
  <c r="F163" i="15"/>
  <c r="F163" i="19" s="1"/>
  <c r="F162" i="15"/>
  <c r="F162" i="19" s="1"/>
  <c r="F161" i="15"/>
  <c r="F161" i="19" s="1"/>
  <c r="F160" i="15"/>
  <c r="F160" i="19" s="1"/>
  <c r="F159" i="15"/>
  <c r="F159" i="19" s="1"/>
  <c r="F158" i="15"/>
  <c r="F158" i="19" s="1"/>
  <c r="F157" i="15"/>
  <c r="F157" i="19" s="1"/>
  <c r="F156" i="15"/>
  <c r="F156" i="19" s="1"/>
  <c r="F155" i="15"/>
  <c r="F155" i="19" s="1"/>
  <c r="F154" i="15"/>
  <c r="F154" i="19" s="1"/>
  <c r="F153" i="15"/>
  <c r="F153" i="19" s="1"/>
  <c r="F152" i="15"/>
  <c r="F152" i="19" s="1"/>
  <c r="F151" i="15"/>
  <c r="F151" i="19" s="1"/>
  <c r="F150" i="15"/>
  <c r="F150" i="19" s="1"/>
  <c r="F149" i="15"/>
  <c r="F149" i="19" s="1"/>
  <c r="F148" i="15"/>
  <c r="F148" i="19" s="1"/>
  <c r="F147" i="15"/>
  <c r="F147" i="19" s="1"/>
  <c r="F146" i="15"/>
  <c r="F146" i="19" s="1"/>
  <c r="F145" i="15"/>
  <c r="F145" i="19" s="1"/>
  <c r="F144" i="15"/>
  <c r="F144" i="19" s="1"/>
  <c r="F143" i="15"/>
  <c r="F143" i="19" s="1"/>
  <c r="F142" i="15"/>
  <c r="F142" i="19" s="1"/>
  <c r="F141" i="15"/>
  <c r="F141" i="19" s="1"/>
  <c r="F140" i="15"/>
  <c r="F140" i="19" s="1"/>
  <c r="F139" i="15"/>
  <c r="F139" i="19" s="1"/>
  <c r="F138" i="15"/>
  <c r="F138" i="19" s="1"/>
  <c r="F137" i="15"/>
  <c r="F137" i="19" s="1"/>
  <c r="F136" i="15"/>
  <c r="F136" i="19" s="1"/>
  <c r="F135" i="15"/>
  <c r="F135" i="19" s="1"/>
  <c r="F134" i="15"/>
  <c r="F134" i="19" s="1"/>
  <c r="F133" i="15"/>
  <c r="F133" i="19" s="1"/>
  <c r="F132" i="15"/>
  <c r="F132" i="19" s="1"/>
  <c r="F131" i="15"/>
  <c r="F131" i="19" s="1"/>
  <c r="F130" i="15"/>
  <c r="F130" i="19" s="1"/>
  <c r="F129" i="15"/>
  <c r="F129" i="19" s="1"/>
  <c r="E128" i="15"/>
  <c r="F128" i="15" s="1"/>
  <c r="F128" i="19" s="1"/>
  <c r="E127" i="15"/>
  <c r="F127" i="15" s="1"/>
  <c r="F127" i="19" s="1"/>
  <c r="F126" i="15"/>
  <c r="F126" i="19" s="1"/>
  <c r="F125" i="15"/>
  <c r="F125" i="19" s="1"/>
  <c r="F124" i="15"/>
  <c r="F124" i="19" s="1"/>
  <c r="F123" i="15"/>
  <c r="F123" i="19" s="1"/>
  <c r="F122" i="15"/>
  <c r="F122" i="19" s="1"/>
  <c r="F121" i="15"/>
  <c r="F121" i="19" s="1"/>
  <c r="F120" i="15"/>
  <c r="F120" i="19" s="1"/>
  <c r="F119" i="15"/>
  <c r="F119" i="19" s="1"/>
  <c r="F118" i="15"/>
  <c r="F118" i="19" s="1"/>
  <c r="F117" i="15"/>
  <c r="F117" i="19" s="1"/>
  <c r="F116" i="15"/>
  <c r="F116" i="19" s="1"/>
  <c r="F115" i="15"/>
  <c r="F115" i="19" s="1"/>
  <c r="F114" i="15"/>
  <c r="F114" i="19" s="1"/>
  <c r="F113" i="15"/>
  <c r="F113" i="19" s="1"/>
  <c r="F112" i="15"/>
  <c r="F112" i="19" s="1"/>
  <c r="F111" i="15"/>
  <c r="F111" i="19" s="1"/>
  <c r="F110" i="15"/>
  <c r="F110" i="19" s="1"/>
  <c r="F109" i="15"/>
  <c r="F109" i="19" s="1"/>
  <c r="F108" i="15"/>
  <c r="F108" i="19" s="1"/>
  <c r="F107" i="15"/>
  <c r="F107" i="19" s="1"/>
  <c r="F106" i="15"/>
  <c r="F106" i="19" s="1"/>
  <c r="F105" i="15"/>
  <c r="F105" i="19" s="1"/>
  <c r="F104" i="15"/>
  <c r="F104" i="19" s="1"/>
  <c r="F103" i="15"/>
  <c r="F103" i="19" s="1"/>
  <c r="F102" i="15"/>
  <c r="F102" i="19" s="1"/>
  <c r="F101" i="15"/>
  <c r="F101" i="19" s="1"/>
  <c r="F100" i="15"/>
  <c r="F100" i="19" s="1"/>
  <c r="F99" i="15"/>
  <c r="F99" i="19" s="1"/>
  <c r="F98" i="15"/>
  <c r="F98" i="19" s="1"/>
  <c r="F97" i="15"/>
  <c r="F97" i="19" s="1"/>
  <c r="F96" i="15"/>
  <c r="F96" i="19" s="1"/>
  <c r="F95" i="15"/>
  <c r="F95" i="19" s="1"/>
  <c r="F94" i="15"/>
  <c r="F94" i="19" s="1"/>
  <c r="F93" i="15"/>
  <c r="F93" i="19" s="1"/>
  <c r="F92" i="15"/>
  <c r="F92" i="19" s="1"/>
  <c r="F91" i="15"/>
  <c r="F91" i="19" s="1"/>
  <c r="F90" i="15"/>
  <c r="F90" i="19" s="1"/>
  <c r="F89" i="15"/>
  <c r="F89" i="19" s="1"/>
  <c r="F88" i="15"/>
  <c r="F88" i="19" s="1"/>
  <c r="F87" i="15"/>
  <c r="F87" i="19" s="1"/>
  <c r="F86" i="15"/>
  <c r="F86" i="19" s="1"/>
  <c r="F85" i="15"/>
  <c r="F85" i="19" s="1"/>
  <c r="F84" i="15"/>
  <c r="F84" i="19" s="1"/>
  <c r="F83" i="15"/>
  <c r="F83" i="19" s="1"/>
  <c r="F82" i="15"/>
  <c r="F82" i="19" s="1"/>
  <c r="F81" i="15"/>
  <c r="F81" i="19" s="1"/>
  <c r="F80" i="15"/>
  <c r="F80" i="19" s="1"/>
  <c r="F79" i="15"/>
  <c r="F79" i="19" s="1"/>
  <c r="F78" i="15"/>
  <c r="F78" i="19" s="1"/>
  <c r="F77" i="15"/>
  <c r="F77" i="19" s="1"/>
  <c r="F76" i="15"/>
  <c r="F76" i="19" s="1"/>
  <c r="F75" i="15"/>
  <c r="F75" i="19" s="1"/>
  <c r="F74" i="15"/>
  <c r="F74" i="19" s="1"/>
  <c r="F73" i="15"/>
  <c r="F73" i="19" s="1"/>
  <c r="F72" i="15"/>
  <c r="F72" i="19" s="1"/>
  <c r="F71" i="15"/>
  <c r="F71" i="19" s="1"/>
  <c r="F70" i="15"/>
  <c r="F70" i="19" s="1"/>
  <c r="F69" i="15"/>
  <c r="F69" i="19" s="1"/>
  <c r="F68" i="15"/>
  <c r="F68" i="19" s="1"/>
  <c r="F67" i="15"/>
  <c r="F67" i="19" s="1"/>
  <c r="F66" i="15"/>
  <c r="F66" i="19" s="1"/>
  <c r="F65" i="15"/>
  <c r="F65" i="19" s="1"/>
  <c r="F64" i="15"/>
  <c r="F64" i="19" s="1"/>
  <c r="F63" i="15"/>
  <c r="F63" i="19" s="1"/>
  <c r="F62" i="15"/>
  <c r="F62" i="19" s="1"/>
  <c r="F61" i="15"/>
  <c r="F61" i="19" s="1"/>
  <c r="F60" i="15"/>
  <c r="F60" i="19" s="1"/>
  <c r="F59" i="15"/>
  <c r="F59" i="19" s="1"/>
  <c r="F58" i="15"/>
  <c r="F58" i="19" s="1"/>
  <c r="F57" i="15"/>
  <c r="F57" i="19" s="1"/>
  <c r="F56" i="15"/>
  <c r="F56" i="19" s="1"/>
  <c r="F55" i="15"/>
  <c r="F55" i="19" s="1"/>
  <c r="F54" i="15"/>
  <c r="F54" i="19" s="1"/>
  <c r="F53" i="15"/>
  <c r="F53" i="19" s="1"/>
  <c r="F52" i="15"/>
  <c r="F52" i="19" s="1"/>
  <c r="F51" i="15"/>
  <c r="F51" i="19" s="1"/>
  <c r="F50" i="15"/>
  <c r="F50" i="19" s="1"/>
  <c r="F49" i="15"/>
  <c r="F49" i="19" s="1"/>
  <c r="F48" i="15"/>
  <c r="F48" i="19" s="1"/>
  <c r="F47" i="15"/>
  <c r="F47" i="19" s="1"/>
  <c r="F46" i="15"/>
  <c r="F46" i="19" s="1"/>
  <c r="F45" i="15"/>
  <c r="F45" i="19" s="1"/>
  <c r="F44" i="15"/>
  <c r="F44" i="19" s="1"/>
  <c r="F43" i="15"/>
  <c r="F43" i="19" s="1"/>
  <c r="F42" i="15"/>
  <c r="F42" i="19" s="1"/>
  <c r="G247" i="12"/>
  <c r="E247" i="19" s="1"/>
  <c r="G238" i="12"/>
  <c r="E238" i="19" s="1"/>
  <c r="G234" i="12"/>
  <c r="E234" i="19" s="1"/>
  <c r="G233" i="12"/>
  <c r="E233" i="19" s="1"/>
  <c r="G232" i="12"/>
  <c r="E232" i="19" s="1"/>
  <c r="G231" i="12"/>
  <c r="E231" i="19" s="1"/>
  <c r="G230" i="12"/>
  <c r="E230" i="19" s="1"/>
  <c r="G229" i="12"/>
  <c r="E229" i="19" s="1"/>
  <c r="G228" i="12"/>
  <c r="E228" i="19" s="1"/>
  <c r="G226" i="12"/>
  <c r="E226" i="19" s="1"/>
  <c r="G220" i="12"/>
  <c r="E220" i="19" s="1"/>
  <c r="G212" i="12"/>
  <c r="E212" i="19" s="1"/>
  <c r="G200" i="12"/>
  <c r="E200" i="19" s="1"/>
  <c r="G196" i="12"/>
  <c r="E196" i="19" s="1"/>
  <c r="G195" i="12"/>
  <c r="E195" i="19" s="1"/>
  <c r="G191" i="12"/>
  <c r="E191" i="19" s="1"/>
  <c r="G189" i="12"/>
  <c r="E189" i="19" s="1"/>
  <c r="G173" i="12"/>
  <c r="E173" i="19" s="1"/>
  <c r="G172" i="12"/>
  <c r="E172" i="19" s="1"/>
  <c r="G170" i="12"/>
  <c r="E170" i="19" s="1"/>
  <c r="G169" i="12"/>
  <c r="E169" i="19" s="1"/>
  <c r="G168" i="12"/>
  <c r="E168" i="19" s="1"/>
  <c r="G167" i="12"/>
  <c r="E167" i="19" s="1"/>
  <c r="G164" i="12"/>
  <c r="E164" i="19" s="1"/>
  <c r="G156" i="12"/>
  <c r="E156" i="19" s="1"/>
  <c r="G142" i="12"/>
  <c r="E142" i="19" s="1"/>
  <c r="G138" i="12"/>
  <c r="E138" i="19" s="1"/>
  <c r="G131" i="12"/>
  <c r="E131" i="19" s="1"/>
  <c r="G125" i="12"/>
  <c r="E125" i="19" s="1"/>
  <c r="G116" i="12"/>
  <c r="E116" i="19" s="1"/>
  <c r="G112" i="12"/>
  <c r="E112" i="19" s="1"/>
  <c r="G111" i="12"/>
  <c r="E111" i="19" s="1"/>
  <c r="G108" i="12"/>
  <c r="E108" i="19" s="1"/>
  <c r="G107" i="12"/>
  <c r="E107" i="19" s="1"/>
  <c r="G104" i="12"/>
  <c r="E104" i="19" s="1"/>
  <c r="G103" i="12"/>
  <c r="E103" i="19" s="1"/>
  <c r="G102" i="12"/>
  <c r="E102" i="19" s="1"/>
  <c r="G100" i="12"/>
  <c r="E100" i="19" s="1"/>
  <c r="G97" i="12"/>
  <c r="E97" i="19" s="1"/>
  <c r="G96" i="12"/>
  <c r="E96" i="19" s="1"/>
  <c r="G95" i="12"/>
  <c r="E95" i="19" s="1"/>
  <c r="G93" i="12"/>
  <c r="E93" i="19" s="1"/>
  <c r="G89" i="12"/>
  <c r="E89" i="19" s="1"/>
  <c r="G88" i="12"/>
  <c r="E88" i="19" s="1"/>
  <c r="G87" i="12"/>
  <c r="E87" i="19" s="1"/>
  <c r="G86" i="12"/>
  <c r="E86" i="19" s="1"/>
  <c r="G85" i="12"/>
  <c r="E85" i="19" s="1"/>
  <c r="G84" i="12"/>
  <c r="E84" i="19" s="1"/>
  <c r="G78" i="12"/>
  <c r="E78" i="19" s="1"/>
  <c r="G77" i="12"/>
  <c r="E77" i="19" s="1"/>
  <c r="G76" i="12"/>
  <c r="E76" i="19" s="1"/>
  <c r="G75" i="12"/>
  <c r="E75" i="19" s="1"/>
  <c r="G73" i="12"/>
  <c r="E73" i="19" s="1"/>
  <c r="G70" i="12"/>
  <c r="E70" i="19" s="1"/>
  <c r="G69" i="12"/>
  <c r="E69" i="19" s="1"/>
  <c r="G62" i="12"/>
  <c r="E62" i="19" s="1"/>
  <c r="G59" i="12"/>
  <c r="E59" i="19" s="1"/>
  <c r="G58" i="12"/>
  <c r="E58" i="19" s="1"/>
  <c r="G57" i="12"/>
  <c r="E57" i="19" s="1"/>
  <c r="G54" i="12"/>
  <c r="E54" i="19" s="1"/>
  <c r="G51" i="12"/>
  <c r="E51" i="19" s="1"/>
  <c r="G50" i="12"/>
  <c r="E50" i="19" s="1"/>
  <c r="G49" i="12"/>
  <c r="E49" i="19" s="1"/>
  <c r="G48" i="12"/>
  <c r="E48" i="19" s="1"/>
  <c r="G47" i="12"/>
  <c r="E47" i="19" s="1"/>
  <c r="G46" i="12"/>
  <c r="E46" i="19" s="1"/>
  <c r="G42" i="12"/>
  <c r="E42" i="19" s="1"/>
  <c r="G21" i="12"/>
  <c r="E21" i="19" s="1"/>
  <c r="G205" i="17"/>
  <c r="H205" i="19" s="1"/>
  <c r="G205" i="16"/>
  <c r="G205" i="19" s="1"/>
  <c r="G19" i="17"/>
  <c r="H19" i="19" s="1"/>
  <c r="G19" i="16"/>
  <c r="G19" i="19" s="1"/>
  <c r="G247" i="16" l="1"/>
  <c r="G247" i="19" s="1"/>
  <c r="G248" i="16"/>
  <c r="G248" i="19" s="1"/>
  <c r="G249" i="16"/>
  <c r="G249" i="19" s="1"/>
  <c r="G199" i="16"/>
  <c r="G199" i="19" s="1"/>
  <c r="G13" i="16"/>
  <c r="G13" i="19" s="1"/>
  <c r="G12" i="12"/>
  <c r="E12" i="19" s="1"/>
  <c r="F128" i="17"/>
  <c r="F128" i="16"/>
  <c r="F127" i="17"/>
  <c r="F127" i="16"/>
  <c r="G138" i="17"/>
  <c r="H138" i="19" s="1"/>
  <c r="G139" i="17"/>
  <c r="H139" i="19" s="1"/>
  <c r="G140" i="17"/>
  <c r="H140" i="19" s="1"/>
  <c r="G141" i="17"/>
  <c r="H141" i="19" s="1"/>
  <c r="G142" i="17"/>
  <c r="H142" i="19" s="1"/>
  <c r="G143" i="17"/>
  <c r="H143" i="19" s="1"/>
  <c r="G144" i="17"/>
  <c r="H144" i="19" s="1"/>
  <c r="G145" i="17"/>
  <c r="H145" i="19" s="1"/>
  <c r="G146" i="17"/>
  <c r="H146" i="19" s="1"/>
  <c r="G147" i="17"/>
  <c r="H147" i="19" s="1"/>
  <c r="G148" i="17"/>
  <c r="H148" i="19" s="1"/>
  <c r="G149" i="17"/>
  <c r="H149" i="19" s="1"/>
  <c r="G150" i="17"/>
  <c r="H150" i="19" s="1"/>
  <c r="G151" i="17"/>
  <c r="H151" i="19" s="1"/>
  <c r="G152" i="17"/>
  <c r="H152" i="19" s="1"/>
  <c r="G153" i="17"/>
  <c r="H153" i="19" s="1"/>
  <c r="G154" i="17"/>
  <c r="H154" i="19" s="1"/>
  <c r="G155" i="17"/>
  <c r="H155" i="19" s="1"/>
  <c r="G156" i="17"/>
  <c r="H156" i="19" s="1"/>
  <c r="G157" i="17"/>
  <c r="H157" i="19" s="1"/>
  <c r="G158" i="17"/>
  <c r="H158" i="19" s="1"/>
  <c r="G159" i="17"/>
  <c r="H159" i="19" s="1"/>
  <c r="G160" i="17"/>
  <c r="H160" i="19" s="1"/>
  <c r="G161" i="17"/>
  <c r="H161" i="19" s="1"/>
  <c r="G162" i="17"/>
  <c r="H162" i="19" s="1"/>
  <c r="G163" i="17"/>
  <c r="H163" i="19" s="1"/>
  <c r="G164" i="17"/>
  <c r="H164" i="19" s="1"/>
  <c r="G167" i="17"/>
  <c r="H167" i="19" s="1"/>
  <c r="G168" i="17"/>
  <c r="H168" i="19" s="1"/>
  <c r="G170" i="17"/>
  <c r="H170" i="19" s="1"/>
  <c r="G172" i="17"/>
  <c r="H172" i="19" s="1"/>
  <c r="G174" i="17"/>
  <c r="H174" i="19" s="1"/>
  <c r="G175" i="17"/>
  <c r="H175" i="19" s="1"/>
  <c r="G178" i="17"/>
  <c r="H178" i="19" s="1"/>
  <c r="G179" i="17"/>
  <c r="H179" i="19" s="1"/>
  <c r="G188" i="17"/>
  <c r="H188" i="19" s="1"/>
  <c r="G189" i="17"/>
  <c r="H189" i="19" s="1"/>
  <c r="G190" i="17"/>
  <c r="H190" i="19" s="1"/>
  <c r="G191" i="17"/>
  <c r="H191" i="19" s="1"/>
  <c r="G192" i="17"/>
  <c r="H192" i="19" s="1"/>
  <c r="G193" i="17"/>
  <c r="H193" i="19" s="1"/>
  <c r="G194" i="17"/>
  <c r="H194" i="19" s="1"/>
  <c r="G195" i="17"/>
  <c r="H195" i="19" s="1"/>
  <c r="G196" i="17"/>
  <c r="H196" i="19" s="1"/>
  <c r="G197" i="17"/>
  <c r="H197" i="19" s="1"/>
  <c r="G198" i="17"/>
  <c r="H198" i="19" s="1"/>
  <c r="G199" i="17"/>
  <c r="H199" i="19" s="1"/>
  <c r="G200" i="17"/>
  <c r="H200" i="19" s="1"/>
  <c r="G201" i="17"/>
  <c r="H201" i="19" s="1"/>
  <c r="G202" i="17"/>
  <c r="H202" i="19" s="1"/>
  <c r="G203" i="17"/>
  <c r="H203" i="19" s="1"/>
  <c r="G204" i="17"/>
  <c r="H204" i="19" s="1"/>
  <c r="G206" i="17"/>
  <c r="H206" i="19" s="1"/>
  <c r="G207" i="17"/>
  <c r="H207" i="19" s="1"/>
  <c r="G208" i="17"/>
  <c r="H208" i="19" s="1"/>
  <c r="G209" i="17"/>
  <c r="H209" i="19" s="1"/>
  <c r="G210" i="17"/>
  <c r="H210" i="19" s="1"/>
  <c r="G211" i="17"/>
  <c r="H211" i="19" s="1"/>
  <c r="G212" i="17"/>
  <c r="H212" i="19" s="1"/>
  <c r="G213" i="17"/>
  <c r="H213" i="19" s="1"/>
  <c r="G214" i="17"/>
  <c r="H214" i="19" s="1"/>
  <c r="G215" i="17"/>
  <c r="H215" i="19" s="1"/>
  <c r="G216" i="17"/>
  <c r="H216" i="19" s="1"/>
  <c r="G217" i="17"/>
  <c r="H217" i="19" s="1"/>
  <c r="G218" i="17"/>
  <c r="H218" i="19" s="1"/>
  <c r="G219" i="17"/>
  <c r="H219" i="19" s="1"/>
  <c r="G220" i="17"/>
  <c r="H220" i="19" s="1"/>
  <c r="G221" i="17"/>
  <c r="H221" i="19" s="1"/>
  <c r="G222" i="17"/>
  <c r="H222" i="19" s="1"/>
  <c r="G223" i="17"/>
  <c r="H223" i="19" s="1"/>
  <c r="G224" i="17"/>
  <c r="H224" i="19" s="1"/>
  <c r="G225" i="17"/>
  <c r="H225" i="19" s="1"/>
  <c r="G226" i="17"/>
  <c r="H226" i="19" s="1"/>
  <c r="G227" i="17"/>
  <c r="H227" i="19" s="1"/>
  <c r="G228" i="17"/>
  <c r="H228" i="19" s="1"/>
  <c r="G229" i="17"/>
  <c r="H229" i="19" s="1"/>
  <c r="G230" i="17"/>
  <c r="H230" i="19" s="1"/>
  <c r="G233" i="17"/>
  <c r="H233" i="19" s="1"/>
  <c r="G241" i="17"/>
  <c r="H241" i="19" s="1"/>
  <c r="F227" i="15"/>
  <c r="F227" i="19" s="1"/>
  <c r="F228" i="15"/>
  <c r="F228" i="19" s="1"/>
  <c r="F229" i="15"/>
  <c r="F229" i="19" s="1"/>
  <c r="F230" i="15"/>
  <c r="F230" i="19" s="1"/>
  <c r="F231" i="15"/>
  <c r="F231" i="19" s="1"/>
  <c r="F232" i="15"/>
  <c r="F232" i="19" s="1"/>
  <c r="F233" i="15"/>
  <c r="F233" i="19" s="1"/>
  <c r="F234" i="15"/>
  <c r="F234" i="19" s="1"/>
  <c r="F235" i="15"/>
  <c r="F235" i="19" s="1"/>
  <c r="F236" i="15"/>
  <c r="F236" i="19" s="1"/>
  <c r="F237" i="15"/>
  <c r="F237" i="19" s="1"/>
  <c r="F238" i="15"/>
  <c r="F238" i="19" s="1"/>
  <c r="F239" i="15"/>
  <c r="F239" i="19" s="1"/>
  <c r="F240" i="15"/>
  <c r="F240" i="19" s="1"/>
  <c r="F241" i="15"/>
  <c r="F241" i="19" s="1"/>
  <c r="F242" i="15"/>
  <c r="F242" i="19" s="1"/>
  <c r="F243" i="15"/>
  <c r="F243" i="19" s="1"/>
  <c r="F244" i="15"/>
  <c r="F244" i="19" s="1"/>
  <c r="F245" i="15"/>
  <c r="F245" i="19" s="1"/>
  <c r="F246" i="15"/>
  <c r="F246" i="19" s="1"/>
  <c r="F247" i="15"/>
  <c r="F247" i="19" s="1"/>
  <c r="F248" i="15"/>
  <c r="F248" i="19" s="1"/>
  <c r="F249" i="15"/>
  <c r="F249" i="19" s="1"/>
  <c r="G138" i="16"/>
  <c r="G138" i="19" s="1"/>
  <c r="G139" i="16"/>
  <c r="G139" i="19" s="1"/>
  <c r="G140" i="16"/>
  <c r="G140" i="19" s="1"/>
  <c r="G141" i="16"/>
  <c r="G141" i="19" s="1"/>
  <c r="G142" i="16"/>
  <c r="G142" i="19" s="1"/>
  <c r="G143" i="16"/>
  <c r="G143" i="19" s="1"/>
  <c r="G144" i="16"/>
  <c r="G144" i="19" s="1"/>
  <c r="G145" i="16"/>
  <c r="G145" i="19" s="1"/>
  <c r="G146" i="16"/>
  <c r="G146" i="19" s="1"/>
  <c r="G147" i="16"/>
  <c r="G147" i="19" s="1"/>
  <c r="G148" i="16"/>
  <c r="G148" i="19" s="1"/>
  <c r="G149" i="16"/>
  <c r="G149" i="19" s="1"/>
  <c r="G150" i="16"/>
  <c r="G150" i="19" s="1"/>
  <c r="G151" i="16"/>
  <c r="G151" i="19" s="1"/>
  <c r="G152" i="16"/>
  <c r="G152" i="19" s="1"/>
  <c r="G153" i="16"/>
  <c r="G153" i="19" s="1"/>
  <c r="G154" i="16"/>
  <c r="G154" i="19" s="1"/>
  <c r="G155" i="16"/>
  <c r="G155" i="19" s="1"/>
  <c r="G156" i="16"/>
  <c r="G156" i="19" s="1"/>
  <c r="G157" i="16"/>
  <c r="G157" i="19" s="1"/>
  <c r="G158" i="16"/>
  <c r="G158" i="19" s="1"/>
  <c r="G159" i="16"/>
  <c r="G159" i="19" s="1"/>
  <c r="G160" i="16"/>
  <c r="G160" i="19" s="1"/>
  <c r="G161" i="16"/>
  <c r="G161" i="19" s="1"/>
  <c r="G162" i="16"/>
  <c r="G162" i="19" s="1"/>
  <c r="G163" i="16"/>
  <c r="G163" i="19" s="1"/>
  <c r="G164" i="16"/>
  <c r="G164" i="19" s="1"/>
  <c r="G165" i="16"/>
  <c r="G165" i="19" s="1"/>
  <c r="G166" i="16"/>
  <c r="G166" i="19" s="1"/>
  <c r="G167" i="16"/>
  <c r="G167" i="19" s="1"/>
  <c r="G168" i="16"/>
  <c r="G168" i="19" s="1"/>
  <c r="G169" i="16"/>
  <c r="G169" i="19" s="1"/>
  <c r="G170" i="16"/>
  <c r="G170" i="19" s="1"/>
  <c r="G171" i="16"/>
  <c r="G171" i="19" s="1"/>
  <c r="G172" i="16"/>
  <c r="G172" i="19" s="1"/>
  <c r="G173" i="16"/>
  <c r="G173" i="19" s="1"/>
  <c r="G174" i="16"/>
  <c r="G174" i="19" s="1"/>
  <c r="G175" i="16"/>
  <c r="G175" i="19" s="1"/>
  <c r="G176" i="16"/>
  <c r="G176" i="19" s="1"/>
  <c r="G177" i="16"/>
  <c r="G177" i="19" s="1"/>
  <c r="G178" i="16"/>
  <c r="G178" i="19" s="1"/>
  <c r="G179" i="16"/>
  <c r="G179" i="19" s="1"/>
  <c r="G180" i="16"/>
  <c r="G180" i="19" s="1"/>
  <c r="G181" i="16"/>
  <c r="G181" i="19" s="1"/>
  <c r="G182" i="16"/>
  <c r="G182" i="19" s="1"/>
  <c r="G183" i="16"/>
  <c r="G183" i="19" s="1"/>
  <c r="G184" i="16"/>
  <c r="G184" i="19" s="1"/>
  <c r="G185" i="16"/>
  <c r="G185" i="19" s="1"/>
  <c r="G186" i="16"/>
  <c r="G186" i="19" s="1"/>
  <c r="G187" i="16"/>
  <c r="G187" i="19" s="1"/>
  <c r="G188" i="16"/>
  <c r="G188" i="19" s="1"/>
  <c r="G189" i="16"/>
  <c r="G189" i="19" s="1"/>
  <c r="G190" i="16"/>
  <c r="G190" i="19" s="1"/>
  <c r="G191" i="16"/>
  <c r="G191" i="19" s="1"/>
  <c r="G192" i="16"/>
  <c r="G192" i="19" s="1"/>
  <c r="G193" i="16"/>
  <c r="G193" i="19" s="1"/>
  <c r="G194" i="16"/>
  <c r="G194" i="19" s="1"/>
  <c r="G195" i="16"/>
  <c r="G195" i="19" s="1"/>
  <c r="G196" i="16"/>
  <c r="G196" i="19" s="1"/>
  <c r="G197" i="16"/>
  <c r="G197" i="19" s="1"/>
  <c r="G198" i="16"/>
  <c r="G198" i="19" s="1"/>
  <c r="G200" i="16"/>
  <c r="G200" i="19" s="1"/>
  <c r="G201" i="16"/>
  <c r="G201" i="19" s="1"/>
  <c r="G202" i="16"/>
  <c r="G202" i="19" s="1"/>
  <c r="G203" i="16"/>
  <c r="G203" i="19" s="1"/>
  <c r="G204" i="16"/>
  <c r="G204" i="19" s="1"/>
  <c r="G206" i="16"/>
  <c r="G206" i="19" s="1"/>
  <c r="G207" i="16"/>
  <c r="G207" i="19" s="1"/>
  <c r="G208" i="16"/>
  <c r="G208" i="19" s="1"/>
  <c r="G209" i="16"/>
  <c r="G209" i="19" s="1"/>
  <c r="G210" i="16"/>
  <c r="G210" i="19" s="1"/>
  <c r="G211" i="16"/>
  <c r="G211" i="19" s="1"/>
  <c r="G212" i="16"/>
  <c r="G212" i="19" s="1"/>
  <c r="G213" i="16"/>
  <c r="G213" i="19" s="1"/>
  <c r="G214" i="16"/>
  <c r="G214" i="19" s="1"/>
  <c r="G215" i="16"/>
  <c r="G215" i="19" s="1"/>
  <c r="G216" i="16"/>
  <c r="G216" i="19" s="1"/>
  <c r="G217" i="16"/>
  <c r="G217" i="19" s="1"/>
  <c r="G218" i="16"/>
  <c r="G218" i="19" s="1"/>
  <c r="G219" i="16"/>
  <c r="G219" i="19" s="1"/>
  <c r="G220" i="16"/>
  <c r="G220" i="19" s="1"/>
  <c r="G221" i="16"/>
  <c r="G221" i="19" s="1"/>
  <c r="G222" i="16"/>
  <c r="G222" i="19" s="1"/>
  <c r="G223" i="16"/>
  <c r="G223" i="19" s="1"/>
  <c r="G224" i="16"/>
  <c r="G224" i="19" s="1"/>
  <c r="G225" i="16"/>
  <c r="G225" i="19" s="1"/>
  <c r="G226" i="16"/>
  <c r="G226" i="19" s="1"/>
  <c r="G227" i="16"/>
  <c r="G227" i="19" s="1"/>
  <c r="G228" i="16"/>
  <c r="G228" i="19" s="1"/>
  <c r="G231" i="16"/>
  <c r="G231" i="19" s="1"/>
  <c r="G234" i="16"/>
  <c r="G234" i="19" s="1"/>
  <c r="G235" i="16"/>
  <c r="G235" i="19" s="1"/>
  <c r="G238" i="16"/>
  <c r="G238" i="19" s="1"/>
  <c r="G239" i="16"/>
  <c r="G239" i="19" s="1"/>
  <c r="G242" i="16"/>
  <c r="G242" i="19" s="1"/>
  <c r="G245" i="16"/>
  <c r="G245" i="19" s="1"/>
  <c r="G246" i="16"/>
  <c r="G246" i="19" s="1"/>
  <c r="G40" i="12"/>
  <c r="E40" i="19" s="1"/>
  <c r="G29" i="12"/>
  <c r="E29" i="19" s="1"/>
  <c r="G19" i="12"/>
  <c r="E19" i="19" s="1"/>
  <c r="G18" i="12"/>
  <c r="E18" i="19" s="1"/>
  <c r="G11" i="12"/>
  <c r="E11" i="19" s="1"/>
  <c r="G2" i="12"/>
  <c r="E2" i="19" s="1"/>
  <c r="G186" i="17" l="1"/>
  <c r="H186" i="19" s="1"/>
  <c r="G249" i="17"/>
  <c r="H249" i="19" s="1"/>
  <c r="G247" i="17"/>
  <c r="H247" i="19" s="1"/>
  <c r="G240" i="17"/>
  <c r="H240" i="19" s="1"/>
  <c r="G238" i="17"/>
  <c r="H238" i="19" s="1"/>
  <c r="G236" i="17"/>
  <c r="H236" i="19" s="1"/>
  <c r="G234" i="17"/>
  <c r="H234" i="19" s="1"/>
  <c r="G232" i="17"/>
  <c r="H232" i="19" s="1"/>
  <c r="G171" i="17"/>
  <c r="H171" i="19" s="1"/>
  <c r="G248" i="17"/>
  <c r="H248" i="19" s="1"/>
  <c r="G244" i="17"/>
  <c r="H244" i="19" s="1"/>
  <c r="G235" i="17"/>
  <c r="H235" i="19" s="1"/>
  <c r="G187" i="17"/>
  <c r="H187" i="19" s="1"/>
  <c r="G185" i="17"/>
  <c r="H185" i="19" s="1"/>
  <c r="G183" i="17"/>
  <c r="H183" i="19" s="1"/>
  <c r="G181" i="17"/>
  <c r="H181" i="19" s="1"/>
  <c r="G245" i="17"/>
  <c r="H245" i="19" s="1"/>
  <c r="G184" i="17"/>
  <c r="H184" i="19" s="1"/>
  <c r="G169" i="17"/>
  <c r="H169" i="19" s="1"/>
  <c r="G246" i="17"/>
  <c r="H246" i="19" s="1"/>
  <c r="G243" i="17"/>
  <c r="H243" i="19" s="1"/>
  <c r="G237" i="17"/>
  <c r="H237" i="19" s="1"/>
  <c r="G231" i="17"/>
  <c r="H231" i="19" s="1"/>
  <c r="G182" i="17"/>
  <c r="H182" i="19" s="1"/>
  <c r="G180" i="17"/>
  <c r="H180" i="19" s="1"/>
  <c r="G176" i="17"/>
  <c r="H176" i="19" s="1"/>
  <c r="G242" i="17"/>
  <c r="H242" i="19" s="1"/>
  <c r="G177" i="17"/>
  <c r="H177" i="19" s="1"/>
  <c r="G239" i="17"/>
  <c r="H239" i="19" s="1"/>
  <c r="G173" i="17"/>
  <c r="H173" i="19" s="1"/>
  <c r="G243" i="16"/>
  <c r="G243" i="19" s="1"/>
  <c r="G241" i="16"/>
  <c r="G241" i="19" s="1"/>
  <c r="G236" i="16"/>
  <c r="G236" i="19" s="1"/>
  <c r="G233" i="16"/>
  <c r="G233" i="19" s="1"/>
  <c r="G229" i="16"/>
  <c r="G229" i="19" s="1"/>
  <c r="G244" i="16"/>
  <c r="G244" i="19" s="1"/>
  <c r="G240" i="16"/>
  <c r="G240" i="19" s="1"/>
  <c r="G237" i="16"/>
  <c r="G237" i="19" s="1"/>
  <c r="G232" i="16"/>
  <c r="G232" i="19" s="1"/>
  <c r="G230" i="16"/>
  <c r="G230" i="19" s="1"/>
  <c r="G3" i="17" l="1"/>
  <c r="H3" i="19" s="1"/>
  <c r="G128" i="17"/>
  <c r="H128" i="19" s="1"/>
  <c r="G132" i="17"/>
  <c r="H132" i="19" s="1"/>
  <c r="G136" i="17"/>
  <c r="H136" i="19" s="1"/>
  <c r="G2" i="17"/>
  <c r="G33" i="16"/>
  <c r="G33" i="19" s="1"/>
  <c r="G34" i="16"/>
  <c r="G34" i="19" s="1"/>
  <c r="G35" i="16"/>
  <c r="G35" i="19" s="1"/>
  <c r="G36" i="16"/>
  <c r="G36" i="19" s="1"/>
  <c r="G37" i="16"/>
  <c r="G37" i="19" s="1"/>
  <c r="G38" i="16"/>
  <c r="G38" i="19" s="1"/>
  <c r="G64" i="16"/>
  <c r="G64" i="19" s="1"/>
  <c r="G65" i="16"/>
  <c r="G65" i="19" s="1"/>
  <c r="G66" i="16"/>
  <c r="G66" i="19" s="1"/>
  <c r="G67" i="16"/>
  <c r="G67" i="19" s="1"/>
  <c r="G68" i="16"/>
  <c r="G68" i="19" s="1"/>
  <c r="G69" i="16"/>
  <c r="G69" i="19" s="1"/>
  <c r="G70" i="16"/>
  <c r="G70" i="19" s="1"/>
  <c r="G71" i="16"/>
  <c r="G71" i="19" s="1"/>
  <c r="G72" i="16"/>
  <c r="G72" i="19" s="1"/>
  <c r="G73" i="16"/>
  <c r="G73" i="19" s="1"/>
  <c r="G74" i="16"/>
  <c r="G74" i="19" s="1"/>
  <c r="G75" i="16"/>
  <c r="G75" i="19" s="1"/>
  <c r="G76" i="16"/>
  <c r="G76" i="19" s="1"/>
  <c r="G77" i="16"/>
  <c r="G77" i="19" s="1"/>
  <c r="G78" i="16"/>
  <c r="G78" i="19" s="1"/>
  <c r="G79" i="16"/>
  <c r="G79" i="19" s="1"/>
  <c r="G80" i="16"/>
  <c r="G80" i="19" s="1"/>
  <c r="G81" i="16"/>
  <c r="G81" i="19" s="1"/>
  <c r="G82" i="16"/>
  <c r="G82" i="19" s="1"/>
  <c r="G96" i="16"/>
  <c r="G96" i="19" s="1"/>
  <c r="G97" i="16"/>
  <c r="G97" i="19" s="1"/>
  <c r="G98" i="16"/>
  <c r="G98" i="19" s="1"/>
  <c r="G99" i="16"/>
  <c r="G99" i="19" s="1"/>
  <c r="G100" i="16"/>
  <c r="G100" i="19" s="1"/>
  <c r="G101" i="16"/>
  <c r="G101" i="19" s="1"/>
  <c r="G102" i="16"/>
  <c r="G102" i="19" s="1"/>
  <c r="G103" i="16"/>
  <c r="G103" i="19" s="1"/>
  <c r="G104" i="16"/>
  <c r="G104" i="19" s="1"/>
  <c r="G105" i="16"/>
  <c r="G105" i="19" s="1"/>
  <c r="G106" i="16"/>
  <c r="G106" i="19" s="1"/>
  <c r="G107" i="16"/>
  <c r="G107" i="19" s="1"/>
  <c r="G108" i="16"/>
  <c r="G108" i="19" s="1"/>
  <c r="G109" i="16"/>
  <c r="G109" i="19" s="1"/>
  <c r="G110" i="16"/>
  <c r="G110" i="19" s="1"/>
  <c r="G111" i="16"/>
  <c r="G111" i="19" s="1"/>
  <c r="G112" i="16"/>
  <c r="G112" i="19" s="1"/>
  <c r="G113" i="16"/>
  <c r="G113" i="19" s="1"/>
  <c r="G114" i="16"/>
  <c r="G114" i="19" s="1"/>
  <c r="G115" i="16"/>
  <c r="G115" i="19" s="1"/>
  <c r="G116" i="16"/>
  <c r="G116" i="19" s="1"/>
  <c r="G117" i="16"/>
  <c r="G117" i="19" s="1"/>
  <c r="G118" i="16"/>
  <c r="G118" i="19" s="1"/>
  <c r="G119" i="16"/>
  <c r="G119" i="19" s="1"/>
  <c r="G120" i="16"/>
  <c r="G120" i="19" s="1"/>
  <c r="G121" i="16"/>
  <c r="G121" i="19" s="1"/>
  <c r="G122" i="16"/>
  <c r="G122" i="19" s="1"/>
  <c r="G123" i="16"/>
  <c r="G123" i="19" s="1"/>
  <c r="G124" i="16"/>
  <c r="G124" i="19" s="1"/>
  <c r="G125" i="16"/>
  <c r="G125" i="19" s="1"/>
  <c r="G126" i="16"/>
  <c r="G126" i="19" s="1"/>
  <c r="F33" i="15"/>
  <c r="F33" i="19" s="1"/>
  <c r="F34" i="15"/>
  <c r="F34" i="19" s="1"/>
  <c r="F35" i="15"/>
  <c r="F35" i="19" s="1"/>
  <c r="F36" i="15"/>
  <c r="F36" i="19" s="1"/>
  <c r="F37" i="15"/>
  <c r="F37" i="19" s="1"/>
  <c r="F38" i="15"/>
  <c r="F38" i="19" s="1"/>
  <c r="F39" i="15"/>
  <c r="F39" i="19" s="1"/>
  <c r="F40" i="15"/>
  <c r="F40" i="19" s="1"/>
  <c r="G125" i="17" l="1"/>
  <c r="H125" i="19" s="1"/>
  <c r="G121" i="17"/>
  <c r="H121" i="19" s="1"/>
  <c r="G114" i="17"/>
  <c r="H114" i="19" s="1"/>
  <c r="G111" i="17"/>
  <c r="H111" i="19" s="1"/>
  <c r="G107" i="17"/>
  <c r="H107" i="19" s="1"/>
  <c r="G104" i="17"/>
  <c r="H104" i="19" s="1"/>
  <c r="G102" i="17"/>
  <c r="H102" i="19" s="1"/>
  <c r="G98" i="17"/>
  <c r="H98" i="19" s="1"/>
  <c r="G94" i="17"/>
  <c r="H94" i="19" s="1"/>
  <c r="G90" i="17"/>
  <c r="H90" i="19" s="1"/>
  <c r="G86" i="17"/>
  <c r="H86" i="19" s="1"/>
  <c r="G82" i="17"/>
  <c r="H82" i="19" s="1"/>
  <c r="G78" i="17"/>
  <c r="H78" i="19" s="1"/>
  <c r="G74" i="17"/>
  <c r="H74" i="19" s="1"/>
  <c r="G70" i="17"/>
  <c r="H70" i="19" s="1"/>
  <c r="G63" i="17"/>
  <c r="H63" i="19" s="1"/>
  <c r="G59" i="17"/>
  <c r="H59" i="19" s="1"/>
  <c r="G53" i="17"/>
  <c r="H53" i="19" s="1"/>
  <c r="G49" i="17"/>
  <c r="H49" i="19" s="1"/>
  <c r="G45" i="17"/>
  <c r="H45" i="19" s="1"/>
  <c r="G42" i="17"/>
  <c r="H42" i="19" s="1"/>
  <c r="G40" i="17"/>
  <c r="H40" i="19" s="1"/>
  <c r="G36" i="17"/>
  <c r="H36" i="19" s="1"/>
  <c r="G83" i="16"/>
  <c r="G83" i="19" s="1"/>
  <c r="G92" i="16"/>
  <c r="G92" i="19" s="1"/>
  <c r="G88" i="16"/>
  <c r="G88" i="19" s="1"/>
  <c r="G84" i="16"/>
  <c r="G84" i="19" s="1"/>
  <c r="G93" i="16"/>
  <c r="G93" i="19" s="1"/>
  <c r="G89" i="16"/>
  <c r="G89" i="19" s="1"/>
  <c r="G85" i="16"/>
  <c r="G85" i="19" s="1"/>
  <c r="G95" i="16"/>
  <c r="G95" i="19" s="1"/>
  <c r="G91" i="16"/>
  <c r="G91" i="19" s="1"/>
  <c r="G87" i="16"/>
  <c r="G87" i="19" s="1"/>
  <c r="G127" i="16"/>
  <c r="G127" i="19" s="1"/>
  <c r="G134" i="16"/>
  <c r="G134" i="19" s="1"/>
  <c r="G130" i="16"/>
  <c r="G130" i="19" s="1"/>
  <c r="G135" i="17"/>
  <c r="H135" i="19" s="1"/>
  <c r="G131" i="17"/>
  <c r="H131" i="19" s="1"/>
  <c r="G127" i="17"/>
  <c r="H127" i="19" s="1"/>
  <c r="G124" i="17"/>
  <c r="H124" i="19" s="1"/>
  <c r="G120" i="17"/>
  <c r="H120" i="19" s="1"/>
  <c r="G117" i="17"/>
  <c r="H117" i="19" s="1"/>
  <c r="G113" i="17"/>
  <c r="H113" i="19" s="1"/>
  <c r="G110" i="17"/>
  <c r="H110" i="19" s="1"/>
  <c r="G103" i="17"/>
  <c r="H103" i="19" s="1"/>
  <c r="G101" i="17"/>
  <c r="H101" i="19" s="1"/>
  <c r="G97" i="17"/>
  <c r="H97" i="19" s="1"/>
  <c r="G93" i="17"/>
  <c r="H93" i="19" s="1"/>
  <c r="G89" i="17"/>
  <c r="H89" i="19" s="1"/>
  <c r="G85" i="17"/>
  <c r="H85" i="19" s="1"/>
  <c r="G81" i="17"/>
  <c r="H81" i="19" s="1"/>
  <c r="G77" i="17"/>
  <c r="H77" i="19" s="1"/>
  <c r="G73" i="17"/>
  <c r="H73" i="19" s="1"/>
  <c r="G69" i="17"/>
  <c r="H69" i="19" s="1"/>
  <c r="G66" i="17"/>
  <c r="H66" i="19" s="1"/>
  <c r="G62" i="17"/>
  <c r="H62" i="19" s="1"/>
  <c r="G58" i="17"/>
  <c r="H58" i="19" s="1"/>
  <c r="G52" i="17"/>
  <c r="H52" i="19" s="1"/>
  <c r="G48" i="17"/>
  <c r="H48" i="19" s="1"/>
  <c r="G41" i="17"/>
  <c r="H41" i="19" s="1"/>
  <c r="G39" i="17"/>
  <c r="H39" i="19" s="1"/>
  <c r="G35" i="17"/>
  <c r="H35" i="19" s="1"/>
  <c r="G45" i="16"/>
  <c r="G45" i="19" s="1"/>
  <c r="G62" i="16"/>
  <c r="G62" i="19" s="1"/>
  <c r="G47" i="16"/>
  <c r="G47" i="19" s="1"/>
  <c r="G44" i="16"/>
  <c r="G44" i="19" s="1"/>
  <c r="G61" i="16"/>
  <c r="G61" i="19" s="1"/>
  <c r="G57" i="16"/>
  <c r="G57" i="19" s="1"/>
  <c r="G55" i="16"/>
  <c r="G55" i="19" s="1"/>
  <c r="G51" i="16"/>
  <c r="G51" i="19" s="1"/>
  <c r="G134" i="17"/>
  <c r="H134" i="19" s="1"/>
  <c r="G130" i="17"/>
  <c r="H130" i="19" s="1"/>
  <c r="G126" i="17"/>
  <c r="H126" i="19" s="1"/>
  <c r="G123" i="17"/>
  <c r="H123" i="19" s="1"/>
  <c r="G119" i="17"/>
  <c r="H119" i="19" s="1"/>
  <c r="G116" i="17"/>
  <c r="H116" i="19" s="1"/>
  <c r="G109" i="17"/>
  <c r="H109" i="19" s="1"/>
  <c r="G106" i="17"/>
  <c r="H106" i="19" s="1"/>
  <c r="G100" i="17"/>
  <c r="H100" i="19" s="1"/>
  <c r="G136" i="16"/>
  <c r="G136" i="19" s="1"/>
  <c r="G132" i="16"/>
  <c r="G132" i="19" s="1"/>
  <c r="G128" i="16"/>
  <c r="G128" i="19" s="1"/>
  <c r="G94" i="16"/>
  <c r="G94" i="19" s="1"/>
  <c r="G90" i="16"/>
  <c r="G90" i="19" s="1"/>
  <c r="G86" i="16"/>
  <c r="G86" i="19" s="1"/>
  <c r="G46" i="16"/>
  <c r="G46" i="19" s="1"/>
  <c r="G43" i="16"/>
  <c r="G43" i="19" s="1"/>
  <c r="G40" i="16"/>
  <c r="G40" i="19" s="1"/>
  <c r="G60" i="16"/>
  <c r="G60" i="19" s="1"/>
  <c r="G54" i="16"/>
  <c r="G54" i="19" s="1"/>
  <c r="G50" i="16"/>
  <c r="G50" i="19" s="1"/>
  <c r="G137" i="17"/>
  <c r="H137" i="19" s="1"/>
  <c r="G133" i="17"/>
  <c r="H133" i="19" s="1"/>
  <c r="G129" i="17"/>
  <c r="H129" i="19" s="1"/>
  <c r="G122" i="17"/>
  <c r="H122" i="19" s="1"/>
  <c r="G118" i="17"/>
  <c r="H118" i="19" s="1"/>
  <c r="G115" i="17"/>
  <c r="H115" i="19" s="1"/>
  <c r="G112" i="17"/>
  <c r="H112" i="19" s="1"/>
  <c r="G108" i="17"/>
  <c r="H108" i="19" s="1"/>
  <c r="G105" i="17"/>
  <c r="H105" i="19" s="1"/>
  <c r="G99" i="17"/>
  <c r="H99" i="19" s="1"/>
  <c r="G95" i="17"/>
  <c r="H95" i="19" s="1"/>
  <c r="G91" i="17"/>
  <c r="H91" i="19" s="1"/>
  <c r="G87" i="17"/>
  <c r="H87" i="19" s="1"/>
  <c r="G83" i="17"/>
  <c r="H83" i="19" s="1"/>
  <c r="G79" i="17"/>
  <c r="H79" i="19" s="1"/>
  <c r="G75" i="17"/>
  <c r="H75" i="19" s="1"/>
  <c r="G71" i="17"/>
  <c r="H71" i="19" s="1"/>
  <c r="G67" i="17"/>
  <c r="H67" i="19" s="1"/>
  <c r="G64" i="17"/>
  <c r="H64" i="19" s="1"/>
  <c r="G60" i="17"/>
  <c r="H60" i="19" s="1"/>
  <c r="G56" i="17"/>
  <c r="H56" i="19" s="1"/>
  <c r="G54" i="17"/>
  <c r="H54" i="19" s="1"/>
  <c r="G50" i="17"/>
  <c r="H50" i="19" s="1"/>
  <c r="G46" i="17"/>
  <c r="H46" i="19" s="1"/>
  <c r="G43" i="17"/>
  <c r="H43" i="19" s="1"/>
  <c r="G37" i="17"/>
  <c r="H37" i="19" s="1"/>
  <c r="G33" i="17"/>
  <c r="H33" i="19" s="1"/>
  <c r="G42" i="16"/>
  <c r="G42" i="19" s="1"/>
  <c r="G63" i="16"/>
  <c r="G63" i="19" s="1"/>
  <c r="G59" i="16"/>
  <c r="G59" i="19" s="1"/>
  <c r="G56" i="16"/>
  <c r="G56" i="19" s="1"/>
  <c r="G53" i="16"/>
  <c r="G53" i="19" s="1"/>
  <c r="G49" i="16"/>
  <c r="G49" i="19" s="1"/>
  <c r="G39" i="16"/>
  <c r="G39" i="19" s="1"/>
  <c r="G58" i="16"/>
  <c r="G58" i="19" s="1"/>
  <c r="G52" i="16"/>
  <c r="G52" i="19" s="1"/>
  <c r="G48" i="16"/>
  <c r="G48" i="19" s="1"/>
  <c r="G96" i="17"/>
  <c r="H96" i="19" s="1"/>
  <c r="G92" i="17"/>
  <c r="H92" i="19" s="1"/>
  <c r="G88" i="17"/>
  <c r="H88" i="19" s="1"/>
  <c r="G84" i="17"/>
  <c r="H84" i="19" s="1"/>
  <c r="G80" i="17"/>
  <c r="H80" i="19" s="1"/>
  <c r="G76" i="17"/>
  <c r="H76" i="19" s="1"/>
  <c r="G72" i="17"/>
  <c r="H72" i="19" s="1"/>
  <c r="G68" i="17"/>
  <c r="H68" i="19" s="1"/>
  <c r="G65" i="17"/>
  <c r="H65" i="19" s="1"/>
  <c r="G61" i="17"/>
  <c r="H61" i="19" s="1"/>
  <c r="G57" i="17"/>
  <c r="H57" i="19" s="1"/>
  <c r="G55" i="17"/>
  <c r="H55" i="19" s="1"/>
  <c r="G51" i="17"/>
  <c r="H51" i="19" s="1"/>
  <c r="G47" i="17"/>
  <c r="H47" i="19" s="1"/>
  <c r="G44" i="17"/>
  <c r="H44" i="19" s="1"/>
  <c r="G38" i="17"/>
  <c r="H38" i="19" s="1"/>
  <c r="G34" i="17"/>
  <c r="H34" i="19" s="1"/>
  <c r="G137" i="16"/>
  <c r="G137" i="19" s="1"/>
  <c r="G135" i="16"/>
  <c r="G135" i="19" s="1"/>
  <c r="G133" i="16"/>
  <c r="G133" i="19" s="1"/>
  <c r="G131" i="16"/>
  <c r="G131" i="19" s="1"/>
  <c r="G129" i="16"/>
  <c r="G129" i="19" s="1"/>
  <c r="G4" i="17" l="1"/>
  <c r="H4" i="19" s="1"/>
  <c r="G7" i="17"/>
  <c r="H7" i="19" s="1"/>
  <c r="G9" i="17"/>
  <c r="H9" i="19" s="1"/>
  <c r="G11" i="17"/>
  <c r="H11" i="19" s="1"/>
  <c r="G12" i="17"/>
  <c r="H12" i="19" s="1"/>
  <c r="G14" i="17"/>
  <c r="H14" i="19" s="1"/>
  <c r="G16" i="17"/>
  <c r="H16" i="19" s="1"/>
  <c r="G18" i="17"/>
  <c r="H18" i="19" s="1"/>
  <c r="G20" i="17"/>
  <c r="H20" i="19" s="1"/>
  <c r="G22" i="17"/>
  <c r="H22" i="19" s="1"/>
  <c r="G23" i="17"/>
  <c r="H23" i="19" s="1"/>
  <c r="G27" i="17"/>
  <c r="H27" i="19" s="1"/>
  <c r="G29" i="17"/>
  <c r="H29" i="19" s="1"/>
  <c r="G31" i="17"/>
  <c r="H31" i="19" s="1"/>
  <c r="H2" i="19"/>
  <c r="F3" i="15"/>
  <c r="F3" i="19" s="1"/>
  <c r="F4" i="15"/>
  <c r="F4" i="19" s="1"/>
  <c r="F5" i="15"/>
  <c r="F5" i="19" s="1"/>
  <c r="F6" i="15"/>
  <c r="F6" i="19" s="1"/>
  <c r="F7" i="15"/>
  <c r="F7" i="19" s="1"/>
  <c r="F8" i="15"/>
  <c r="F8" i="19" s="1"/>
  <c r="F9" i="15"/>
  <c r="F9" i="19" s="1"/>
  <c r="F10" i="15"/>
  <c r="F10" i="19" s="1"/>
  <c r="F11" i="15"/>
  <c r="F11" i="19" s="1"/>
  <c r="F12" i="15"/>
  <c r="F12" i="19" s="1"/>
  <c r="F13" i="15"/>
  <c r="F13" i="19" s="1"/>
  <c r="F14" i="15"/>
  <c r="F14" i="19" s="1"/>
  <c r="F15" i="15"/>
  <c r="F15" i="19" s="1"/>
  <c r="F16" i="15"/>
  <c r="F16" i="19" s="1"/>
  <c r="F17" i="15"/>
  <c r="F17" i="19" s="1"/>
  <c r="F18" i="15"/>
  <c r="F18" i="19" s="1"/>
  <c r="F19" i="15"/>
  <c r="F19" i="19" s="1"/>
  <c r="F20" i="15"/>
  <c r="F20" i="19" s="1"/>
  <c r="F21" i="15"/>
  <c r="F21" i="19" s="1"/>
  <c r="F22" i="15"/>
  <c r="F22" i="19" s="1"/>
  <c r="F23" i="15"/>
  <c r="F23" i="19" s="1"/>
  <c r="F24" i="15"/>
  <c r="F24" i="19" s="1"/>
  <c r="F25" i="15"/>
  <c r="F25" i="19" s="1"/>
  <c r="F26" i="15"/>
  <c r="F26" i="19" s="1"/>
  <c r="F27" i="15"/>
  <c r="F27" i="19" s="1"/>
  <c r="F28" i="15"/>
  <c r="F28" i="19" s="1"/>
  <c r="F29" i="15"/>
  <c r="F29" i="19" s="1"/>
  <c r="F30" i="15"/>
  <c r="F30" i="19" s="1"/>
  <c r="F31" i="15"/>
  <c r="F31" i="19" s="1"/>
  <c r="F32" i="15"/>
  <c r="F32" i="19" s="1"/>
  <c r="F2" i="15"/>
  <c r="F2" i="19" s="1"/>
  <c r="G2" i="16" l="1"/>
  <c r="G2" i="19" s="1"/>
  <c r="G31" i="16"/>
  <c r="G31" i="19" s="1"/>
  <c r="G29" i="16"/>
  <c r="G29" i="19" s="1"/>
  <c r="G27" i="16"/>
  <c r="G27" i="19" s="1"/>
  <c r="G25" i="16"/>
  <c r="G25" i="19" s="1"/>
  <c r="G23" i="16"/>
  <c r="G23" i="19" s="1"/>
  <c r="G22" i="16"/>
  <c r="G22" i="19" s="1"/>
  <c r="G20" i="16"/>
  <c r="G20" i="19" s="1"/>
  <c r="G18" i="16"/>
  <c r="G18" i="19" s="1"/>
  <c r="G16" i="16"/>
  <c r="G16" i="19" s="1"/>
  <c r="G14" i="16"/>
  <c r="G14" i="19" s="1"/>
  <c r="G12" i="16"/>
  <c r="G12" i="19" s="1"/>
  <c r="G11" i="16"/>
  <c r="G11" i="19" s="1"/>
  <c r="G9" i="16"/>
  <c r="G9" i="19" s="1"/>
  <c r="G7" i="16"/>
  <c r="G7" i="19" s="1"/>
  <c r="G5" i="16"/>
  <c r="G5" i="19" s="1"/>
  <c r="G3" i="16"/>
  <c r="G3" i="19" s="1"/>
  <c r="G32" i="16"/>
  <c r="G32" i="19" s="1"/>
  <c r="G30" i="16"/>
  <c r="G30" i="19" s="1"/>
  <c r="G28" i="16"/>
  <c r="G28" i="19" s="1"/>
  <c r="G26" i="16"/>
  <c r="G26" i="19" s="1"/>
  <c r="G24" i="16"/>
  <c r="G24" i="19" s="1"/>
  <c r="G21" i="16"/>
  <c r="G21" i="19" s="1"/>
  <c r="G32" i="17"/>
  <c r="H32" i="19" s="1"/>
  <c r="G30" i="17"/>
  <c r="H30" i="19" s="1"/>
  <c r="G28" i="17"/>
  <c r="H28" i="19" s="1"/>
  <c r="G26" i="17"/>
  <c r="H26" i="19" s="1"/>
  <c r="G24" i="17"/>
  <c r="H24" i="19" s="1"/>
  <c r="G21" i="17"/>
  <c r="H21" i="19" s="1"/>
  <c r="G17" i="17"/>
  <c r="H17" i="19" s="1"/>
  <c r="G13" i="17"/>
  <c r="H13" i="19" s="1"/>
  <c r="G10" i="17"/>
  <c r="H10" i="19" s="1"/>
  <c r="G8" i="17"/>
  <c r="H8" i="19" s="1"/>
  <c r="G6" i="17"/>
  <c r="H6" i="19" s="1"/>
  <c r="G17" i="16"/>
  <c r="G17" i="19" s="1"/>
  <c r="G15" i="16"/>
  <c r="G15" i="19" s="1"/>
  <c r="G10" i="16"/>
  <c r="G10" i="19" s="1"/>
  <c r="G8" i="16"/>
  <c r="G8" i="19" s="1"/>
  <c r="G6" i="16"/>
  <c r="G6" i="19" s="1"/>
  <c r="G4" i="16"/>
  <c r="G4" i="19" s="1"/>
  <c r="G25" i="17"/>
  <c r="H25" i="19" s="1"/>
  <c r="G5" i="17"/>
  <c r="H5" i="19" s="1"/>
  <c r="G15" i="17"/>
  <c r="H15" i="19" s="1"/>
  <c r="G41" i="16"/>
  <c r="G41" i="19" s="1"/>
</calcChain>
</file>

<file path=xl/sharedStrings.xml><?xml version="1.0" encoding="utf-8"?>
<sst xmlns="http://schemas.openxmlformats.org/spreadsheetml/2006/main" count="5828" uniqueCount="253">
  <si>
    <t xml:space="preserve">No </t>
  </si>
  <si>
    <t>Kode Perusahaan</t>
  </si>
  <si>
    <t>Nama Perusahaan</t>
  </si>
  <si>
    <t>Berurut- urut</t>
  </si>
  <si>
    <t>v</t>
  </si>
  <si>
    <t>Annual Report</t>
  </si>
  <si>
    <t>Tahun</t>
  </si>
  <si>
    <t>Laba +</t>
  </si>
  <si>
    <t>Perusahaan yang memiliki laporan keuangan nominal rupiah (Rp).</t>
  </si>
  <si>
    <t>Rp</t>
  </si>
  <si>
    <t>x</t>
  </si>
  <si>
    <t>Total Aktiva</t>
  </si>
  <si>
    <t>UP</t>
  </si>
  <si>
    <t xml:space="preserve">Laba Bersih Setelah Pajak </t>
  </si>
  <si>
    <t>ROA</t>
  </si>
  <si>
    <t>SIZE</t>
  </si>
  <si>
    <t>Perusahaan sarana dan prasarana sektor infrastruktur dan transportasi yang terdaftar di Bursa Efek Indonesia (BEI) yang menerbitkan laporan keuangan tahunan (annual report) secara lengkap dan konsisten dalam periode 2019-2021.</t>
  </si>
  <si>
    <t>Tanggal Laporan Keuangan</t>
  </si>
  <si>
    <t>AUDELAY</t>
  </si>
  <si>
    <t>Total Liabilitas</t>
  </si>
  <si>
    <t>Total Assets</t>
  </si>
  <si>
    <t>DAR</t>
  </si>
  <si>
    <t>Tanggal Laporan Audti</t>
  </si>
  <si>
    <t>KA</t>
  </si>
  <si>
    <t>DAFTAR PERUSAHAAN JASA TAHUN 2019-2022</t>
  </si>
  <si>
    <t>SEKTOR FINANCIAL</t>
  </si>
  <si>
    <t>BJTM</t>
  </si>
  <si>
    <t>BKSW</t>
  </si>
  <si>
    <t>Bank QNB Indonesia Tbk.</t>
  </si>
  <si>
    <t>CFIN</t>
  </si>
  <si>
    <t>Clipan Finance Indonesia Tbk.</t>
  </si>
  <si>
    <t>LIFE</t>
  </si>
  <si>
    <t>MSIG Life Insurance Indonesia</t>
  </si>
  <si>
    <t>FUJI</t>
  </si>
  <si>
    <t>Fuji Finance Indonesia Tbk.</t>
  </si>
  <si>
    <t>LPGI</t>
  </si>
  <si>
    <t>Lippo General Insurance Tbk.</t>
  </si>
  <si>
    <t>NISP</t>
  </si>
  <si>
    <t>Bank OCBC NISP Tbk.</t>
  </si>
  <si>
    <t>NOBU</t>
  </si>
  <si>
    <t>Bank Nationalnobu Tbk.</t>
  </si>
  <si>
    <t>OCAP</t>
  </si>
  <si>
    <t>Onix Capital Tbk.</t>
  </si>
  <si>
    <t>ABDA</t>
  </si>
  <si>
    <t>Asuransi Bina Dana Arta Tbk.</t>
  </si>
  <si>
    <t>ADMF</t>
  </si>
  <si>
    <t>AGRO</t>
  </si>
  <si>
    <t>Bank Raya Indonesia Tbk.</t>
  </si>
  <si>
    <t>AGRS</t>
  </si>
  <si>
    <t>Bank IBK Indonesia Tbk.</t>
  </si>
  <si>
    <t>AHAP</t>
  </si>
  <si>
    <t>Asuransi Harta Aman Pratama Tb</t>
  </si>
  <si>
    <t>AMAG</t>
  </si>
  <si>
    <t>Asuransi Multi Artha Guna Tbk.</t>
  </si>
  <si>
    <t>APIC</t>
  </si>
  <si>
    <t>Pacific Strategic Financial Tb</t>
  </si>
  <si>
    <t>ARTO</t>
  </si>
  <si>
    <t>Bank Jago Tbk</t>
  </si>
  <si>
    <t>ASBI</t>
  </si>
  <si>
    <t>Asuransi Bintang Tbk.</t>
  </si>
  <si>
    <t>ASDM</t>
  </si>
  <si>
    <t>Asuransi Dayin Mitra Tbk.</t>
  </si>
  <si>
    <t>ASJT</t>
  </si>
  <si>
    <t>Asuransi Jasa Tania Tbk.</t>
  </si>
  <si>
    <t>ASMI</t>
  </si>
  <si>
    <t>Asuransi Maximus Graha Persada</t>
  </si>
  <si>
    <t>BBCA</t>
  </si>
  <si>
    <t>Bank Central Asia Tbk.</t>
  </si>
  <si>
    <t>BBHI</t>
  </si>
  <si>
    <t>Allo Bank Indonesia Tbk.</t>
  </si>
  <si>
    <t>BBKP</t>
  </si>
  <si>
    <t>Bank KB Bukopin Tbk.</t>
  </si>
  <si>
    <t>BBLD</t>
  </si>
  <si>
    <t>Buana Finance Tbk.</t>
  </si>
  <si>
    <t>BBMD</t>
  </si>
  <si>
    <t>Bank Mestika Dharma Tbk.</t>
  </si>
  <si>
    <t>BBNI</t>
  </si>
  <si>
    <t>Bank Negara Indonesia (Persero)</t>
  </si>
  <si>
    <t>BBRI</t>
  </si>
  <si>
    <t>Bank Rakyat Indonesia (Persero)</t>
  </si>
  <si>
    <t>BBTN</t>
  </si>
  <si>
    <t>Bank Tabungan Negara (Persero)</t>
  </si>
  <si>
    <t>BBYB</t>
  </si>
  <si>
    <t>Bank Neo Commerce Tbk.</t>
  </si>
  <si>
    <t>BCAP</t>
  </si>
  <si>
    <t>MNC Kapital Indonesia Tbk.</t>
  </si>
  <si>
    <t>BCIC</t>
  </si>
  <si>
    <t>Bank JTrust Indonesia Tbk.</t>
  </si>
  <si>
    <t>BDMN</t>
  </si>
  <si>
    <t>Bank Danamon Indonesia Tbk.</t>
  </si>
  <si>
    <t>BEKS</t>
  </si>
  <si>
    <t>Bank Pembangunan Daerah Banten</t>
  </si>
  <si>
    <t>BFIN</t>
  </si>
  <si>
    <t>BFI Finance Indonesia Tbk.</t>
  </si>
  <si>
    <t>BGTG</t>
  </si>
  <si>
    <t>Bank Ganesha Tbk.</t>
  </si>
  <si>
    <t>BINA</t>
  </si>
  <si>
    <t>Bank Ina Perdana Tbk.</t>
  </si>
  <si>
    <t>BJBR</t>
  </si>
  <si>
    <t>Bank Pembangunan Daerah Jawa B</t>
  </si>
  <si>
    <t>BMAS</t>
  </si>
  <si>
    <t>Bank Maspion Indonesia Tbk.</t>
  </si>
  <si>
    <t>BMRI</t>
  </si>
  <si>
    <t>Bank Mandiri (Persero) Tbk.</t>
  </si>
  <si>
    <t>BNBA</t>
  </si>
  <si>
    <t>Bank Bumi Arta Tbk.</t>
  </si>
  <si>
    <t>BNGA</t>
  </si>
  <si>
    <t>Bank CIMB Niaga Tbk.</t>
  </si>
  <si>
    <t>BNII</t>
  </si>
  <si>
    <t>Bank Maybank Indonesia Tbk.</t>
  </si>
  <si>
    <t>BNLI</t>
  </si>
  <si>
    <t>Bank Permata Tbk.</t>
  </si>
  <si>
    <t>BPFI</t>
  </si>
  <si>
    <t>Woori Finance Indonesia Tbk.</t>
  </si>
  <si>
    <t>BPII</t>
  </si>
  <si>
    <t>Batavia Prosperindo Internasio</t>
  </si>
  <si>
    <t>BSIM</t>
  </si>
  <si>
    <t>Bank Sinarmas Tbk.</t>
  </si>
  <si>
    <t>BSWD</t>
  </si>
  <si>
    <t>Bank Of India Indonesia Tbk.</t>
  </si>
  <si>
    <t>BTPN</t>
  </si>
  <si>
    <t>Bank BTPN Tbk.</t>
  </si>
  <si>
    <t>BVIC</t>
  </si>
  <si>
    <t>Bank Victoria International Tb</t>
  </si>
  <si>
    <t>DEFI</t>
  </si>
  <si>
    <t>Danasupra Erapacific Tbk</t>
  </si>
  <si>
    <t>DNAR</t>
  </si>
  <si>
    <t>Bank Oke Indonesia Tbk.</t>
  </si>
  <si>
    <t>DNET</t>
  </si>
  <si>
    <t>Indoritel Makmur Internasional</t>
  </si>
  <si>
    <t>GSMF</t>
  </si>
  <si>
    <t>Equity Development Investment</t>
  </si>
  <si>
    <t>HDFA</t>
  </si>
  <si>
    <t>Radana Bhaskara Finance Tbk.</t>
  </si>
  <si>
    <t>INPC</t>
  </si>
  <si>
    <t>Bank Artha Graha Internasional</t>
  </si>
  <si>
    <t>LPPS</t>
  </si>
  <si>
    <t>Lenox Pasifik Investama Tbk.</t>
  </si>
  <si>
    <t>MAYA</t>
  </si>
  <si>
    <t>Bank Mayapada Internasional Tb</t>
  </si>
  <si>
    <t>MCOR</t>
  </si>
  <si>
    <t>Bank China Construction Bank I</t>
  </si>
  <si>
    <t>MEGA</t>
  </si>
  <si>
    <t>Bank Mega Tbk.</t>
  </si>
  <si>
    <t>MFIN</t>
  </si>
  <si>
    <t>Mandala Multifinance Tbk.</t>
  </si>
  <si>
    <t>MGNA</t>
  </si>
  <si>
    <t>Magna Investama Mandiri Tbk.</t>
  </si>
  <si>
    <t>MREI</t>
  </si>
  <si>
    <t>Maskapai Reasuransi Indonesia</t>
  </si>
  <si>
    <t>PADI</t>
  </si>
  <si>
    <t>Minna Padi Investama Sekuritas</t>
  </si>
  <si>
    <t>PALM</t>
  </si>
  <si>
    <t>Provident Investasi Bersama Tb</t>
  </si>
  <si>
    <t>PANS</t>
  </si>
  <si>
    <t>Panin Sekuritas Tbk.</t>
  </si>
  <si>
    <t>PEGE</t>
  </si>
  <si>
    <t>Panca Global Kapital Tbk.</t>
  </si>
  <si>
    <t>PLAS</t>
  </si>
  <si>
    <t>Polaris Investama Tbk</t>
  </si>
  <si>
    <t>PNBN</t>
  </si>
  <si>
    <t>Bank Pan Indonesia Tbk</t>
  </si>
  <si>
    <t>PNBS</t>
  </si>
  <si>
    <t>Bank Panin Dubai Syariah Tbk.</t>
  </si>
  <si>
    <t>PNIN</t>
  </si>
  <si>
    <t>Paninvest Tbk.</t>
  </si>
  <si>
    <t>PNLF</t>
  </si>
  <si>
    <t>Panin Financial Tbk.</t>
  </si>
  <si>
    <t>RELI</t>
  </si>
  <si>
    <t>Reliance Sekuritas Indonesia T</t>
  </si>
  <si>
    <t>SDRA</t>
  </si>
  <si>
    <t>Bank Woori Saudara Indonesia 1</t>
  </si>
  <si>
    <t>SRTG</t>
  </si>
  <si>
    <t>Saratoga Investama Sedaya Tbk.</t>
  </si>
  <si>
    <t>TRIM</t>
  </si>
  <si>
    <t>Trimegah Sekuritas Indonesia T</t>
  </si>
  <si>
    <t>TRUS</t>
  </si>
  <si>
    <t>Trust Finance Indonesia Tbk</t>
  </si>
  <si>
    <t>VICO</t>
  </si>
  <si>
    <t>Victoria Investama Tbk.</t>
  </si>
  <si>
    <t>VINS</t>
  </si>
  <si>
    <t>Victoria Insurance Tbk.</t>
  </si>
  <si>
    <t>VRNA</t>
  </si>
  <si>
    <t>Mizuho Leasing Indonesia Tbk.</t>
  </si>
  <si>
    <t>WOMF</t>
  </si>
  <si>
    <t>Wahana Ottomitra Multiartha Tb</t>
  </si>
  <si>
    <t>YULE</t>
  </si>
  <si>
    <t>Yulie Sekuritas Indonesia Tbk.</t>
  </si>
  <si>
    <t>CASA</t>
  </si>
  <si>
    <t>Capital Financial Indonesia Tb</t>
  </si>
  <si>
    <t>BRIS</t>
  </si>
  <si>
    <t>Bank Syariah Indonesia Tbk.</t>
  </si>
  <si>
    <t>MTWI</t>
  </si>
  <si>
    <t>Malacca Trust Wuwungan Insuran</t>
  </si>
  <si>
    <t>JMAS</t>
  </si>
  <si>
    <t>Asuransi Jiwa Syariah Jasa Mit</t>
  </si>
  <si>
    <t>NICK</t>
  </si>
  <si>
    <t>Charnic Capital Tbk.</t>
  </si>
  <si>
    <t>BTPS</t>
  </si>
  <si>
    <t>Bank BTPN Syariah Tbk.</t>
  </si>
  <si>
    <t>TUGU</t>
  </si>
  <si>
    <t>Asuransi Tugu Pratama Indonesia</t>
  </si>
  <si>
    <t>POLA</t>
  </si>
  <si>
    <t>Pool Advista Finance Tbk.</t>
  </si>
  <si>
    <t>AMAR</t>
  </si>
  <si>
    <t>Bank Amar Indonesia Tbk.</t>
  </si>
  <si>
    <t>AMOR</t>
  </si>
  <si>
    <t>Ashmore Asset Management Indon</t>
  </si>
  <si>
    <t>BBSI</t>
  </si>
  <si>
    <t>Krom Bank Indonesia Tbk.</t>
  </si>
  <si>
    <t>BANK</t>
  </si>
  <si>
    <t>Bank Aladin Syariah Tbk.</t>
  </si>
  <si>
    <t>VTNY</t>
  </si>
  <si>
    <t>Venteny Fortuna International</t>
  </si>
  <si>
    <t>POOL</t>
  </si>
  <si>
    <t>Pool Advista Indonesia Tbk.</t>
  </si>
  <si>
    <t>SFAN</t>
  </si>
  <si>
    <t>Surya Fajar Capital Tbk.</t>
  </si>
  <si>
    <t>BHAT</t>
  </si>
  <si>
    <t>Bhakti Multi Artha Tbk.</t>
  </si>
  <si>
    <t>SMMA</t>
  </si>
  <si>
    <t>Sinarmas Multiartha Tbk.</t>
  </si>
  <si>
    <t>STAR</t>
  </si>
  <si>
    <t>Buana Artha Anugerah Tbk.</t>
  </si>
  <si>
    <t>TIFA</t>
  </si>
  <si>
    <t>KDB Tifa Finance Tbk.</t>
  </si>
  <si>
    <t>MASB</t>
  </si>
  <si>
    <t>Bank Multiarta Sentosa Tbk.</t>
  </si>
  <si>
    <t>ASRM</t>
  </si>
  <si>
    <t>Asuransi Ramayana Tbk.</t>
  </si>
  <si>
    <t>BABP</t>
  </si>
  <si>
    <t>Bank MNC Internasional Tbk.</t>
  </si>
  <si>
    <t>BACA</t>
  </si>
  <si>
    <t>Bank Capital Indonesia Tbk.</t>
  </si>
  <si>
    <t>2019 -2022</t>
  </si>
  <si>
    <t>Adira Dinamika Multi Finance Tbk.</t>
  </si>
  <si>
    <t>Perusahaan jasa keuangan yang terdaftar di Bursa Efek Indonesia (BEI) secara berturut-turut selama periode penelitian yaitu tahun 2019-2022.</t>
  </si>
  <si>
    <t>Asuransi Harta Aman Pratama Tbk.</t>
  </si>
  <si>
    <t>Pacific Strategic Financial Tbk.</t>
  </si>
  <si>
    <t>Bank Pembangunan Daerah Jawa Timur</t>
  </si>
  <si>
    <t>X</t>
  </si>
  <si>
    <t>Batavia Prosperindo Internasional</t>
  </si>
  <si>
    <t>Bank Victoria International Tbk</t>
  </si>
  <si>
    <t>Bank Mayapada Internasional Tbk</t>
  </si>
  <si>
    <t>Bank China Construction Bank Indonesia</t>
  </si>
  <si>
    <t>Bank Woori Saudara Indonesia 1906</t>
  </si>
  <si>
    <t>Wahana Ottomitra Multiartha Tbk</t>
  </si>
  <si>
    <t>Malacca Trust Wuwungan Insurance</t>
  </si>
  <si>
    <t>Pacific Strategic Financial Tbk</t>
  </si>
  <si>
    <t>Bank Pembangunan Daerah Jawa Barat</t>
  </si>
  <si>
    <t>Perusahaan JASA KEUANGAN yang menghasilkan laba positif selama periode 2019-2021.</t>
  </si>
  <si>
    <t>kode</t>
  </si>
  <si>
    <t>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</si>
</sst>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[$-421]dd\ mmmm\ yyyy;@"/>
  </numFmts>
  <fonts count="1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Times New Roman"/>
      <family val="1"/>
      <charset val="1"/>
    </font>
    <font>
      <sz val="8"/>
      <name val="Calibri"/>
      <family val="2"/>
      <charset val="1"/>
      <scheme val="minor"/>
    </font>
    <font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43" fontId="0" fillId="0" borderId="1" xfId="1" applyFont="1" applyBorder="1"/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4" borderId="1" xfId="0" applyFill="1" applyBorder="1"/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3" fontId="0" fillId="0" borderId="1" xfId="0" applyNumberFormat="1" applyBorder="1"/>
    <xf numFmtId="43" fontId="0" fillId="0" borderId="1" xfId="1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0" fillId="4" borderId="5" xfId="0" applyFill="1" applyBorder="1"/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4" borderId="6" xfId="0" applyFont="1" applyFill="1" applyBorder="1"/>
    <xf numFmtId="0" fontId="3" fillId="4" borderId="6" xfId="0" applyFont="1" applyFill="1" applyBorder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2" fillId="4" borderId="2" xfId="0" applyFont="1" applyFill="1" applyBorder="1"/>
    <xf numFmtId="0" fontId="2" fillId="4" borderId="0" xfId="0" applyFont="1" applyFill="1"/>
    <xf numFmtId="0" fontId="0" fillId="4" borderId="1" xfId="0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right"/>
    </xf>
    <xf numFmtId="0" fontId="0" fillId="2" borderId="1" xfId="0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5" xfId="0" applyFont="1" applyBorder="1"/>
    <xf numFmtId="0" fontId="6" fillId="0" borderId="0" xfId="0" applyFont="1"/>
    <xf numFmtId="3" fontId="0" fillId="0" borderId="0" xfId="0" applyNumberFormat="1"/>
    <xf numFmtId="43" fontId="0" fillId="0" borderId="0" xfId="1" applyFont="1" applyBorder="1"/>
    <xf numFmtId="164" fontId="0" fillId="0" borderId="0" xfId="0" applyNumberFormat="1"/>
    <xf numFmtId="0" fontId="0" fillId="0" borderId="9" xfId="0" applyBorder="1" applyAlignment="1">
      <alignment horizontal="center"/>
    </xf>
    <xf numFmtId="0" fontId="6" fillId="0" borderId="9" xfId="0" applyFont="1" applyBorder="1"/>
    <xf numFmtId="165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12" fillId="0" borderId="1" xfId="0" applyFont="1" applyBorder="1"/>
    <xf numFmtId="0" fontId="6" fillId="6" borderId="1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workbookViewId="0">
      <selection activeCell="B4" sqref="B4"/>
    </sheetView>
  </sheetViews>
  <sheetFormatPr defaultRowHeight="14.5" x14ac:dyDescent="0.35"/>
  <cols>
    <col min="2" max="2" width="40.1796875" customWidth="1"/>
    <col min="3" max="3" width="7.81640625" customWidth="1"/>
    <col min="5" max="5" width="38.81640625" customWidth="1"/>
    <col min="8" max="8" width="46.54296875" customWidth="1"/>
  </cols>
  <sheetData>
    <row r="1" spans="1:8" ht="23.5" x14ac:dyDescent="0.55000000000000004">
      <c r="A1" s="66" t="s">
        <v>24</v>
      </c>
      <c r="B1" s="67"/>
      <c r="C1" s="36"/>
      <c r="D1" s="37"/>
      <c r="E1" s="37"/>
      <c r="F1" s="37"/>
      <c r="G1" s="37"/>
      <c r="H1" s="37"/>
    </row>
    <row r="2" spans="1:8" x14ac:dyDescent="0.35">
      <c r="A2" s="64" t="s">
        <v>234</v>
      </c>
      <c r="B2" s="65"/>
      <c r="C2" s="2"/>
      <c r="D2" s="33"/>
      <c r="E2" s="33"/>
      <c r="F2" s="33"/>
      <c r="G2" s="33"/>
      <c r="H2" s="33"/>
    </row>
    <row r="3" spans="1:8" x14ac:dyDescent="0.35">
      <c r="A3" s="62" t="s">
        <v>25</v>
      </c>
      <c r="B3" s="63"/>
      <c r="C3" s="2"/>
      <c r="D3" s="33"/>
      <c r="E3" s="33"/>
      <c r="F3" s="33"/>
      <c r="G3" s="33"/>
      <c r="H3" s="33"/>
    </row>
    <row r="4" spans="1:8" ht="15.5" x14ac:dyDescent="0.35">
      <c r="A4" s="17" t="s">
        <v>26</v>
      </c>
      <c r="B4" s="18" t="s">
        <v>239</v>
      </c>
      <c r="C4" s="22"/>
      <c r="D4" s="34"/>
      <c r="E4" s="34"/>
      <c r="F4" s="33"/>
      <c r="G4" s="34"/>
      <c r="H4" s="34"/>
    </row>
    <row r="5" spans="1:8" ht="15.5" x14ac:dyDescent="0.35">
      <c r="A5" s="17" t="s">
        <v>27</v>
      </c>
      <c r="B5" s="17" t="s">
        <v>28</v>
      </c>
      <c r="D5" s="33"/>
      <c r="E5" s="33"/>
      <c r="F5" s="33"/>
      <c r="G5" s="33"/>
      <c r="H5" s="33"/>
    </row>
    <row r="6" spans="1:8" ht="15.5" x14ac:dyDescent="0.35">
      <c r="A6" s="17" t="s">
        <v>29</v>
      </c>
      <c r="B6" s="17" t="s">
        <v>30</v>
      </c>
      <c r="D6" s="33"/>
      <c r="E6" s="33"/>
      <c r="F6" s="33"/>
      <c r="G6" s="33"/>
      <c r="H6" s="33"/>
    </row>
    <row r="7" spans="1:8" ht="15.5" x14ac:dyDescent="0.35">
      <c r="A7" s="17" t="s">
        <v>31</v>
      </c>
      <c r="B7" s="17" t="s">
        <v>32</v>
      </c>
      <c r="D7" s="33"/>
      <c r="E7" s="33"/>
      <c r="F7" s="33"/>
      <c r="G7" s="33"/>
      <c r="H7" s="33"/>
    </row>
    <row r="8" spans="1:8" ht="15.5" x14ac:dyDescent="0.35">
      <c r="A8" s="17" t="s">
        <v>33</v>
      </c>
      <c r="B8" s="17" t="s">
        <v>34</v>
      </c>
      <c r="D8" s="33"/>
      <c r="E8" s="33"/>
      <c r="F8" s="33"/>
      <c r="G8" s="33"/>
      <c r="H8" s="33"/>
    </row>
    <row r="9" spans="1:8" ht="15.5" x14ac:dyDescent="0.35">
      <c r="A9" s="17" t="s">
        <v>35</v>
      </c>
      <c r="B9" s="17" t="s">
        <v>36</v>
      </c>
      <c r="D9" s="33"/>
      <c r="E9" s="33"/>
      <c r="F9" s="33"/>
      <c r="G9" s="33"/>
      <c r="H9" s="33"/>
    </row>
    <row r="10" spans="1:8" ht="15.5" x14ac:dyDescent="0.35">
      <c r="A10" s="17" t="s">
        <v>37</v>
      </c>
      <c r="B10" s="17" t="s">
        <v>38</v>
      </c>
      <c r="D10" s="33"/>
      <c r="E10" s="33"/>
      <c r="F10" s="33"/>
      <c r="G10" s="33"/>
      <c r="H10" s="33"/>
    </row>
    <row r="11" spans="1:8" ht="15.5" x14ac:dyDescent="0.35">
      <c r="A11" s="17" t="s">
        <v>39</v>
      </c>
      <c r="B11" s="17" t="s">
        <v>40</v>
      </c>
      <c r="D11" s="33"/>
      <c r="E11" s="33"/>
      <c r="F11" s="33"/>
      <c r="G11" s="33"/>
      <c r="H11" s="33"/>
    </row>
    <row r="12" spans="1:8" ht="15.5" x14ac:dyDescent="0.35">
      <c r="A12" s="17" t="s">
        <v>41</v>
      </c>
      <c r="B12" s="17" t="s">
        <v>42</v>
      </c>
      <c r="D12" s="33"/>
      <c r="E12" s="33"/>
      <c r="F12" s="33"/>
      <c r="G12" s="33"/>
      <c r="H12" s="33"/>
    </row>
    <row r="13" spans="1:8" ht="15.5" x14ac:dyDescent="0.35">
      <c r="A13" s="17" t="s">
        <v>43</v>
      </c>
      <c r="B13" s="17" t="s">
        <v>44</v>
      </c>
      <c r="D13" s="33"/>
      <c r="E13" s="33"/>
      <c r="F13" s="33"/>
      <c r="G13" s="33"/>
      <c r="H13" s="33"/>
    </row>
    <row r="14" spans="1:8" ht="15.5" x14ac:dyDescent="0.35">
      <c r="A14" s="17" t="s">
        <v>45</v>
      </c>
      <c r="B14" s="17" t="s">
        <v>235</v>
      </c>
      <c r="D14" s="33"/>
      <c r="E14" s="33"/>
      <c r="F14" s="33"/>
      <c r="G14" s="33"/>
      <c r="H14" s="33"/>
    </row>
    <row r="15" spans="1:8" ht="15.5" x14ac:dyDescent="0.35">
      <c r="A15" s="17" t="s">
        <v>46</v>
      </c>
      <c r="B15" s="17" t="s">
        <v>47</v>
      </c>
      <c r="D15" s="33"/>
      <c r="E15" s="33"/>
      <c r="F15" s="33"/>
      <c r="G15" s="33"/>
      <c r="H15" s="33"/>
    </row>
    <row r="16" spans="1:8" ht="15.5" x14ac:dyDescent="0.35">
      <c r="A16" s="17" t="s">
        <v>48</v>
      </c>
      <c r="B16" s="17" t="s">
        <v>49</v>
      </c>
      <c r="D16" s="33"/>
      <c r="E16" s="33"/>
      <c r="F16" s="33"/>
      <c r="G16" s="33"/>
      <c r="H16" s="33"/>
    </row>
    <row r="17" spans="1:8" ht="15.5" x14ac:dyDescent="0.35">
      <c r="A17" s="17" t="s">
        <v>50</v>
      </c>
      <c r="B17" s="17" t="s">
        <v>51</v>
      </c>
      <c r="D17" s="33"/>
      <c r="E17" s="33"/>
      <c r="F17" s="33"/>
      <c r="G17" s="33"/>
      <c r="H17" s="33"/>
    </row>
    <row r="18" spans="1:8" ht="15.5" x14ac:dyDescent="0.35">
      <c r="A18" s="17" t="s">
        <v>52</v>
      </c>
      <c r="B18" s="17" t="s">
        <v>53</v>
      </c>
      <c r="D18" s="33"/>
      <c r="E18" s="33"/>
      <c r="F18" s="33"/>
      <c r="G18" s="33"/>
      <c r="H18" s="33"/>
    </row>
    <row r="19" spans="1:8" ht="15.5" x14ac:dyDescent="0.35">
      <c r="A19" s="17" t="s">
        <v>54</v>
      </c>
      <c r="B19" s="17" t="s">
        <v>55</v>
      </c>
      <c r="D19" s="33"/>
      <c r="E19" s="33"/>
      <c r="F19" s="33"/>
      <c r="G19" s="33"/>
      <c r="H19" s="33"/>
    </row>
    <row r="20" spans="1:8" ht="15.5" x14ac:dyDescent="0.35">
      <c r="A20" s="17" t="s">
        <v>56</v>
      </c>
      <c r="B20" s="17" t="s">
        <v>57</v>
      </c>
      <c r="D20" s="33"/>
      <c r="E20" s="33"/>
      <c r="F20" s="33"/>
      <c r="G20" s="33"/>
      <c r="H20" s="33"/>
    </row>
    <row r="21" spans="1:8" ht="15.5" x14ac:dyDescent="0.35">
      <c r="A21" s="17" t="s">
        <v>58</v>
      </c>
      <c r="B21" s="17" t="s">
        <v>59</v>
      </c>
      <c r="D21" s="33"/>
      <c r="E21" s="33"/>
      <c r="F21" s="33"/>
      <c r="G21" s="33"/>
      <c r="H21" s="33"/>
    </row>
    <row r="22" spans="1:8" ht="15.5" x14ac:dyDescent="0.35">
      <c r="A22" s="17" t="s">
        <v>60</v>
      </c>
      <c r="B22" s="17" t="s">
        <v>61</v>
      </c>
      <c r="D22" s="33"/>
      <c r="E22" s="33"/>
      <c r="F22" s="33"/>
      <c r="G22" s="33"/>
      <c r="H22" s="33"/>
    </row>
    <row r="23" spans="1:8" ht="15.5" x14ac:dyDescent="0.35">
      <c r="A23" s="17" t="s">
        <v>62</v>
      </c>
      <c r="B23" s="17" t="s">
        <v>63</v>
      </c>
      <c r="D23" s="33"/>
      <c r="E23" s="33"/>
      <c r="F23" s="33"/>
      <c r="G23" s="33"/>
      <c r="H23" s="33"/>
    </row>
    <row r="24" spans="1:8" ht="15.5" x14ac:dyDescent="0.35">
      <c r="A24" s="17" t="s">
        <v>64</v>
      </c>
      <c r="B24" s="17" t="s">
        <v>65</v>
      </c>
      <c r="D24" s="33"/>
      <c r="E24" s="33"/>
      <c r="F24" s="33"/>
      <c r="G24" s="33"/>
      <c r="H24" s="33"/>
    </row>
    <row r="25" spans="1:8" ht="15.5" x14ac:dyDescent="0.35">
      <c r="A25" s="17" t="s">
        <v>66</v>
      </c>
      <c r="B25" s="17" t="s">
        <v>67</v>
      </c>
      <c r="D25" s="33"/>
      <c r="E25" s="33"/>
      <c r="F25" s="33"/>
      <c r="G25" s="33"/>
      <c r="H25" s="33"/>
    </row>
    <row r="26" spans="1:8" ht="15.5" x14ac:dyDescent="0.35">
      <c r="A26" s="17" t="s">
        <v>68</v>
      </c>
      <c r="B26" s="17" t="s">
        <v>69</v>
      </c>
      <c r="D26" s="33"/>
      <c r="E26" s="33"/>
      <c r="F26" s="33"/>
      <c r="G26" s="33"/>
      <c r="H26" s="33"/>
    </row>
    <row r="27" spans="1:8" ht="15.5" x14ac:dyDescent="0.35">
      <c r="A27" s="17" t="s">
        <v>70</v>
      </c>
      <c r="B27" s="17" t="s">
        <v>71</v>
      </c>
      <c r="D27" s="33"/>
      <c r="E27" s="33"/>
      <c r="F27" s="33"/>
      <c r="G27" s="33"/>
      <c r="H27" s="33"/>
    </row>
    <row r="28" spans="1:8" ht="15.5" x14ac:dyDescent="0.35">
      <c r="A28" s="17" t="s">
        <v>72</v>
      </c>
      <c r="B28" s="17" t="s">
        <v>73</v>
      </c>
      <c r="D28" s="33"/>
      <c r="E28" s="33"/>
      <c r="F28" s="33"/>
      <c r="G28" s="33"/>
      <c r="H28" s="33"/>
    </row>
    <row r="29" spans="1:8" ht="15.5" x14ac:dyDescent="0.35">
      <c r="A29" s="17" t="s">
        <v>74</v>
      </c>
      <c r="B29" s="17" t="s">
        <v>75</v>
      </c>
      <c r="D29" s="33"/>
      <c r="E29" s="33"/>
      <c r="F29" s="33"/>
      <c r="G29" s="33"/>
      <c r="H29" s="33"/>
    </row>
    <row r="30" spans="1:8" ht="15.5" x14ac:dyDescent="0.35">
      <c r="A30" s="17" t="s">
        <v>76</v>
      </c>
      <c r="B30" s="17" t="s">
        <v>77</v>
      </c>
      <c r="D30" s="33"/>
      <c r="E30" s="33"/>
      <c r="F30" s="33"/>
      <c r="G30" s="33"/>
      <c r="H30" s="33"/>
    </row>
    <row r="31" spans="1:8" ht="15.5" x14ac:dyDescent="0.35">
      <c r="A31" s="17" t="s">
        <v>78</v>
      </c>
      <c r="B31" s="17" t="s">
        <v>79</v>
      </c>
      <c r="D31" s="33"/>
      <c r="E31" s="33"/>
      <c r="F31" s="33"/>
      <c r="G31" s="33"/>
      <c r="H31" s="33"/>
    </row>
    <row r="32" spans="1:8" ht="15.5" x14ac:dyDescent="0.35">
      <c r="A32" s="17" t="s">
        <v>80</v>
      </c>
      <c r="B32" s="17" t="s">
        <v>81</v>
      </c>
      <c r="D32" s="33"/>
      <c r="E32" s="33"/>
      <c r="F32" s="33"/>
      <c r="G32" s="33"/>
      <c r="H32" s="33"/>
    </row>
    <row r="33" spans="1:8" ht="15.5" x14ac:dyDescent="0.35">
      <c r="A33" s="17" t="s">
        <v>82</v>
      </c>
      <c r="B33" s="17" t="s">
        <v>83</v>
      </c>
      <c r="D33" s="33"/>
      <c r="E33" s="33"/>
      <c r="F33" s="33"/>
      <c r="G33" s="33"/>
      <c r="H33" s="33"/>
    </row>
    <row r="34" spans="1:8" ht="15.5" x14ac:dyDescent="0.35">
      <c r="A34" s="17" t="s">
        <v>84</v>
      </c>
      <c r="B34" s="17" t="s">
        <v>85</v>
      </c>
      <c r="D34" s="33"/>
      <c r="E34" s="33"/>
      <c r="F34" s="33"/>
      <c r="G34" s="33"/>
      <c r="H34" s="33"/>
    </row>
    <row r="35" spans="1:8" ht="15.5" x14ac:dyDescent="0.35">
      <c r="A35" s="17" t="s">
        <v>86</v>
      </c>
      <c r="B35" s="17" t="s">
        <v>87</v>
      </c>
      <c r="D35" s="33"/>
      <c r="E35" s="33"/>
      <c r="F35" s="33"/>
      <c r="G35" s="33"/>
      <c r="H35" s="33"/>
    </row>
    <row r="36" spans="1:8" ht="15.5" x14ac:dyDescent="0.35">
      <c r="A36" s="17" t="s">
        <v>88</v>
      </c>
      <c r="B36" s="17" t="s">
        <v>89</v>
      </c>
      <c r="D36" s="33"/>
      <c r="E36" s="33"/>
      <c r="F36" s="33"/>
      <c r="G36" s="35"/>
      <c r="H36" s="33"/>
    </row>
    <row r="37" spans="1:8" ht="15.5" x14ac:dyDescent="0.35">
      <c r="A37" s="17" t="s">
        <v>90</v>
      </c>
      <c r="B37" s="18" t="s">
        <v>91</v>
      </c>
      <c r="D37" s="33"/>
      <c r="E37" s="33"/>
      <c r="F37" s="33"/>
      <c r="G37" s="33"/>
      <c r="H37" s="33"/>
    </row>
    <row r="38" spans="1:8" ht="15.5" x14ac:dyDescent="0.35">
      <c r="A38" s="17" t="s">
        <v>92</v>
      </c>
      <c r="B38" s="17" t="s">
        <v>93</v>
      </c>
      <c r="D38" s="33"/>
      <c r="E38" s="33"/>
      <c r="F38" s="33"/>
      <c r="G38" s="33"/>
      <c r="H38" s="33"/>
    </row>
    <row r="39" spans="1:8" ht="15.5" x14ac:dyDescent="0.35">
      <c r="A39" s="17" t="s">
        <v>94</v>
      </c>
      <c r="B39" s="17" t="s">
        <v>95</v>
      </c>
      <c r="D39" s="33"/>
      <c r="E39" s="33"/>
      <c r="F39" s="33"/>
      <c r="G39" s="33"/>
      <c r="H39" s="33"/>
    </row>
    <row r="40" spans="1:8" ht="15.5" x14ac:dyDescent="0.35">
      <c r="A40" s="17" t="s">
        <v>96</v>
      </c>
      <c r="B40" s="17" t="s">
        <v>97</v>
      </c>
      <c r="D40" s="33"/>
      <c r="E40" s="33"/>
      <c r="F40" s="33"/>
      <c r="G40" s="33"/>
      <c r="H40" s="33"/>
    </row>
    <row r="41" spans="1:8" ht="15.5" x14ac:dyDescent="0.35">
      <c r="A41" s="17" t="s">
        <v>98</v>
      </c>
      <c r="B41" s="17" t="s">
        <v>99</v>
      </c>
      <c r="D41" s="33"/>
      <c r="E41" s="33"/>
      <c r="F41" s="33"/>
      <c r="G41" s="33"/>
      <c r="H41" s="33"/>
    </row>
    <row r="42" spans="1:8" ht="15.5" x14ac:dyDescent="0.35">
      <c r="A42" s="17" t="s">
        <v>100</v>
      </c>
      <c r="B42" s="17" t="s">
        <v>101</v>
      </c>
      <c r="D42" s="33"/>
      <c r="E42" s="33"/>
      <c r="F42" s="33"/>
      <c r="G42" s="33"/>
      <c r="H42" s="33"/>
    </row>
    <row r="43" spans="1:8" ht="15.5" x14ac:dyDescent="0.35">
      <c r="A43" s="17" t="s">
        <v>102</v>
      </c>
      <c r="B43" s="17" t="s">
        <v>103</v>
      </c>
      <c r="D43" s="33"/>
      <c r="E43" s="33"/>
      <c r="F43" s="33"/>
      <c r="G43" s="33"/>
      <c r="H43" s="33"/>
    </row>
    <row r="44" spans="1:8" ht="15.5" x14ac:dyDescent="0.35">
      <c r="A44" s="17" t="s">
        <v>104</v>
      </c>
      <c r="B44" s="17" t="s">
        <v>105</v>
      </c>
      <c r="D44" s="33"/>
      <c r="E44" s="33"/>
      <c r="F44" s="33"/>
      <c r="G44" s="33"/>
      <c r="H44" s="33"/>
    </row>
    <row r="45" spans="1:8" ht="15.5" x14ac:dyDescent="0.35">
      <c r="A45" s="17" t="s">
        <v>106</v>
      </c>
      <c r="B45" s="17" t="s">
        <v>107</v>
      </c>
      <c r="D45" s="33"/>
      <c r="E45" s="33"/>
      <c r="F45" s="33"/>
      <c r="G45" s="33"/>
      <c r="H45" s="33"/>
    </row>
    <row r="46" spans="1:8" ht="15.5" x14ac:dyDescent="0.35">
      <c r="A46" s="17" t="s">
        <v>108</v>
      </c>
      <c r="B46" s="17" t="s">
        <v>109</v>
      </c>
      <c r="D46" s="33"/>
      <c r="E46" s="33"/>
      <c r="F46" s="33"/>
      <c r="G46" s="33"/>
      <c r="H46" s="33"/>
    </row>
    <row r="47" spans="1:8" ht="15.5" x14ac:dyDescent="0.35">
      <c r="A47" s="17" t="s">
        <v>110</v>
      </c>
      <c r="B47" s="17" t="s">
        <v>111</v>
      </c>
      <c r="D47" s="33"/>
      <c r="E47" s="33"/>
      <c r="F47" s="33"/>
      <c r="G47" s="33"/>
      <c r="H47" s="33"/>
    </row>
    <row r="48" spans="1:8" ht="15.5" x14ac:dyDescent="0.35">
      <c r="A48" s="17" t="s">
        <v>112</v>
      </c>
      <c r="B48" s="17" t="s">
        <v>113</v>
      </c>
      <c r="D48" s="33"/>
      <c r="E48" s="33"/>
      <c r="F48" s="33"/>
      <c r="G48" s="33"/>
      <c r="H48" s="33"/>
    </row>
    <row r="49" spans="1:8" ht="15.5" x14ac:dyDescent="0.35">
      <c r="A49" s="17" t="s">
        <v>114</v>
      </c>
      <c r="B49" s="17" t="s">
        <v>115</v>
      </c>
      <c r="D49" s="33"/>
      <c r="E49" s="33"/>
      <c r="F49" s="33"/>
      <c r="G49" s="33"/>
      <c r="H49" s="33"/>
    </row>
    <row r="50" spans="1:8" ht="15.5" x14ac:dyDescent="0.35">
      <c r="A50" s="17" t="s">
        <v>116</v>
      </c>
      <c r="B50" s="17" t="s">
        <v>117</v>
      </c>
      <c r="D50" s="33"/>
      <c r="E50" s="33"/>
      <c r="F50" s="33"/>
      <c r="G50" s="33"/>
      <c r="H50" s="33"/>
    </row>
    <row r="51" spans="1:8" ht="15.5" x14ac:dyDescent="0.35">
      <c r="A51" s="17" t="s">
        <v>118</v>
      </c>
      <c r="B51" s="17" t="s">
        <v>119</v>
      </c>
      <c r="D51" s="33"/>
      <c r="E51" s="33"/>
      <c r="F51" s="33"/>
      <c r="G51" s="33"/>
      <c r="H51" s="33"/>
    </row>
    <row r="52" spans="1:8" ht="15.5" x14ac:dyDescent="0.35">
      <c r="A52" s="17" t="s">
        <v>120</v>
      </c>
      <c r="B52" s="17" t="s">
        <v>121</v>
      </c>
      <c r="D52" s="33"/>
      <c r="E52" s="33"/>
      <c r="F52" s="33"/>
      <c r="G52" s="33"/>
      <c r="H52" s="33"/>
    </row>
    <row r="53" spans="1:8" ht="15.5" x14ac:dyDescent="0.35">
      <c r="A53" s="17" t="s">
        <v>122</v>
      </c>
      <c r="B53" s="17" t="s">
        <v>123</v>
      </c>
      <c r="D53" s="33"/>
      <c r="E53" s="33"/>
      <c r="F53" s="33"/>
      <c r="G53" s="33"/>
      <c r="H53" s="33"/>
    </row>
    <row r="54" spans="1:8" ht="15.5" x14ac:dyDescent="0.35">
      <c r="A54" s="17" t="s">
        <v>124</v>
      </c>
      <c r="B54" s="17" t="s">
        <v>125</v>
      </c>
      <c r="D54" s="33"/>
      <c r="E54" s="33"/>
      <c r="F54" s="33"/>
      <c r="G54" s="33"/>
      <c r="H54" s="33"/>
    </row>
    <row r="55" spans="1:8" ht="15.5" x14ac:dyDescent="0.35">
      <c r="A55" s="17" t="s">
        <v>126</v>
      </c>
      <c r="B55" s="17" t="s">
        <v>127</v>
      </c>
      <c r="D55" s="33"/>
      <c r="E55" s="33"/>
      <c r="F55" s="33"/>
      <c r="G55" s="33"/>
      <c r="H55" s="33"/>
    </row>
    <row r="56" spans="1:8" ht="15.5" x14ac:dyDescent="0.35">
      <c r="A56" s="17" t="s">
        <v>128</v>
      </c>
      <c r="B56" s="17" t="s">
        <v>129</v>
      </c>
      <c r="D56" s="33"/>
      <c r="E56" s="33"/>
      <c r="F56" s="33"/>
      <c r="G56" s="33"/>
      <c r="H56" s="33"/>
    </row>
    <row r="57" spans="1:8" ht="15.5" x14ac:dyDescent="0.35">
      <c r="A57" s="17" t="s">
        <v>130</v>
      </c>
      <c r="B57" s="17" t="s">
        <v>131</v>
      </c>
      <c r="D57" s="33"/>
      <c r="E57" s="33"/>
      <c r="F57" s="33"/>
      <c r="G57" s="33"/>
      <c r="H57" s="33"/>
    </row>
    <row r="58" spans="1:8" ht="15.5" x14ac:dyDescent="0.35">
      <c r="A58" s="17" t="s">
        <v>132</v>
      </c>
      <c r="B58" s="17" t="s">
        <v>133</v>
      </c>
      <c r="D58" s="33"/>
      <c r="E58" s="33"/>
      <c r="F58" s="33"/>
      <c r="G58" s="33"/>
      <c r="H58" s="33"/>
    </row>
    <row r="59" spans="1:8" ht="15.5" x14ac:dyDescent="0.35">
      <c r="A59" s="17" t="s">
        <v>134</v>
      </c>
      <c r="B59" s="17" t="s">
        <v>135</v>
      </c>
      <c r="D59" s="33"/>
      <c r="E59" s="33"/>
      <c r="F59" s="33"/>
      <c r="G59" s="33"/>
      <c r="H59" s="33"/>
    </row>
    <row r="60" spans="1:8" ht="15.5" x14ac:dyDescent="0.35">
      <c r="A60" s="17" t="s">
        <v>136</v>
      </c>
      <c r="B60" s="17" t="s">
        <v>137</v>
      </c>
      <c r="D60" s="33"/>
      <c r="E60" s="33"/>
      <c r="F60" s="33"/>
      <c r="G60" s="33"/>
      <c r="H60" s="33"/>
    </row>
    <row r="61" spans="1:8" ht="15.5" x14ac:dyDescent="0.35">
      <c r="A61" s="17" t="s">
        <v>138</v>
      </c>
      <c r="B61" s="17" t="s">
        <v>139</v>
      </c>
      <c r="D61" s="33"/>
      <c r="E61" s="33"/>
      <c r="F61" s="33"/>
      <c r="G61" s="33"/>
      <c r="H61" s="33"/>
    </row>
    <row r="62" spans="1:8" ht="15.5" x14ac:dyDescent="0.35">
      <c r="A62" s="17" t="s">
        <v>140</v>
      </c>
      <c r="B62" s="17" t="s">
        <v>141</v>
      </c>
      <c r="D62" s="33"/>
      <c r="E62" s="33"/>
      <c r="F62" s="33"/>
      <c r="G62" s="33"/>
      <c r="H62" s="33"/>
    </row>
    <row r="63" spans="1:8" ht="15.5" x14ac:dyDescent="0.35">
      <c r="A63" s="17" t="s">
        <v>142</v>
      </c>
      <c r="B63" s="17" t="s">
        <v>143</v>
      </c>
      <c r="D63" s="33"/>
      <c r="E63" s="33"/>
      <c r="F63" s="33"/>
      <c r="G63" s="33"/>
      <c r="H63" s="33"/>
    </row>
    <row r="64" spans="1:8" ht="15.5" x14ac:dyDescent="0.35">
      <c r="A64" s="17" t="s">
        <v>144</v>
      </c>
      <c r="B64" s="17" t="s">
        <v>145</v>
      </c>
      <c r="D64" s="33"/>
      <c r="E64" s="33"/>
      <c r="F64" s="33"/>
      <c r="G64" s="33"/>
      <c r="H64" s="33"/>
    </row>
    <row r="65" spans="1:8" ht="15.5" x14ac:dyDescent="0.35">
      <c r="A65" s="17" t="s">
        <v>146</v>
      </c>
      <c r="B65" s="17" t="s">
        <v>147</v>
      </c>
      <c r="D65" s="33"/>
      <c r="E65" s="33"/>
      <c r="F65" s="33"/>
      <c r="G65" s="33"/>
      <c r="H65" s="33"/>
    </row>
    <row r="66" spans="1:8" ht="15.5" x14ac:dyDescent="0.35">
      <c r="A66" s="17" t="s">
        <v>148</v>
      </c>
      <c r="B66" s="18" t="s">
        <v>149</v>
      </c>
      <c r="D66" s="33"/>
      <c r="E66" s="33"/>
      <c r="F66" s="33"/>
      <c r="G66" s="33"/>
      <c r="H66" s="33"/>
    </row>
    <row r="67" spans="1:8" ht="15.5" x14ac:dyDescent="0.35">
      <c r="A67" s="17" t="s">
        <v>150</v>
      </c>
      <c r="B67" s="17" t="s">
        <v>151</v>
      </c>
      <c r="D67" s="33"/>
      <c r="E67" s="33"/>
      <c r="F67" s="33"/>
      <c r="G67" s="33"/>
      <c r="H67" s="33"/>
    </row>
    <row r="68" spans="1:8" ht="15.5" x14ac:dyDescent="0.35">
      <c r="A68" s="17" t="s">
        <v>152</v>
      </c>
      <c r="B68" s="17" t="s">
        <v>153</v>
      </c>
      <c r="D68" s="33"/>
      <c r="E68" s="33"/>
      <c r="F68" s="33"/>
      <c r="G68" s="33"/>
      <c r="H68" s="33"/>
    </row>
    <row r="69" spans="1:8" ht="15.5" x14ac:dyDescent="0.35">
      <c r="A69" s="17" t="s">
        <v>154</v>
      </c>
      <c r="B69" s="17" t="s">
        <v>155</v>
      </c>
      <c r="D69" s="33"/>
      <c r="E69" s="33"/>
      <c r="F69" s="33"/>
      <c r="G69" s="33"/>
      <c r="H69" s="33"/>
    </row>
    <row r="70" spans="1:8" ht="15.5" x14ac:dyDescent="0.35">
      <c r="A70" s="17" t="s">
        <v>156</v>
      </c>
      <c r="B70" s="17" t="s">
        <v>157</v>
      </c>
      <c r="D70" s="33"/>
      <c r="E70" s="33"/>
      <c r="F70" s="33"/>
      <c r="G70" s="33"/>
      <c r="H70" s="33"/>
    </row>
    <row r="71" spans="1:8" ht="15.5" x14ac:dyDescent="0.35">
      <c r="A71" s="17" t="s">
        <v>158</v>
      </c>
      <c r="B71" s="17" t="s">
        <v>159</v>
      </c>
      <c r="D71" s="33"/>
      <c r="E71" s="33"/>
      <c r="F71" s="33"/>
      <c r="G71" s="33"/>
      <c r="H71" s="33"/>
    </row>
    <row r="72" spans="1:8" ht="15.5" x14ac:dyDescent="0.35">
      <c r="A72" s="17" t="s">
        <v>160</v>
      </c>
      <c r="B72" s="17" t="s">
        <v>161</v>
      </c>
      <c r="D72" s="33"/>
      <c r="E72" s="33"/>
      <c r="F72" s="33"/>
      <c r="G72" s="33"/>
      <c r="H72" s="33"/>
    </row>
    <row r="73" spans="1:8" ht="15.5" x14ac:dyDescent="0.35">
      <c r="A73" s="17" t="s">
        <v>162</v>
      </c>
      <c r="B73" s="17" t="s">
        <v>163</v>
      </c>
      <c r="D73" s="33"/>
      <c r="E73" s="33"/>
      <c r="F73" s="33"/>
      <c r="G73" s="33"/>
      <c r="H73" s="33"/>
    </row>
    <row r="74" spans="1:8" ht="15.5" x14ac:dyDescent="0.35">
      <c r="A74" s="17" t="s">
        <v>164</v>
      </c>
      <c r="B74" s="17" t="s">
        <v>165</v>
      </c>
      <c r="D74" s="33"/>
      <c r="E74" s="33"/>
      <c r="F74" s="33"/>
      <c r="G74" s="33"/>
      <c r="H74" s="33"/>
    </row>
    <row r="75" spans="1:8" ht="15.5" x14ac:dyDescent="0.35">
      <c r="A75" s="17" t="s">
        <v>166</v>
      </c>
      <c r="B75" s="17" t="s">
        <v>167</v>
      </c>
      <c r="D75" s="33"/>
      <c r="E75" s="33"/>
      <c r="F75" s="33"/>
      <c r="G75" s="33"/>
      <c r="H75" s="33"/>
    </row>
    <row r="76" spans="1:8" ht="15.5" x14ac:dyDescent="0.35">
      <c r="A76" s="17" t="s">
        <v>168</v>
      </c>
      <c r="B76" s="17" t="s">
        <v>169</v>
      </c>
      <c r="D76" s="33"/>
      <c r="E76" s="33"/>
      <c r="F76" s="33"/>
      <c r="G76" s="33"/>
      <c r="H76" s="33"/>
    </row>
    <row r="77" spans="1:8" ht="15.5" x14ac:dyDescent="0.35">
      <c r="A77" s="17" t="s">
        <v>170</v>
      </c>
      <c r="B77" s="17" t="s">
        <v>171</v>
      </c>
      <c r="D77" s="33"/>
      <c r="E77" s="33"/>
      <c r="F77" s="33"/>
      <c r="G77" s="33"/>
      <c r="H77" s="33"/>
    </row>
    <row r="78" spans="1:8" ht="15.5" x14ac:dyDescent="0.35">
      <c r="A78" s="17" t="s">
        <v>172</v>
      </c>
      <c r="B78" s="17" t="s">
        <v>173</v>
      </c>
      <c r="D78" s="33"/>
      <c r="E78" s="33"/>
      <c r="F78" s="33"/>
      <c r="G78" s="33"/>
      <c r="H78" s="33"/>
    </row>
    <row r="79" spans="1:8" ht="15.5" x14ac:dyDescent="0.35">
      <c r="A79" s="17" t="s">
        <v>174</v>
      </c>
      <c r="B79" s="17" t="s">
        <v>175</v>
      </c>
      <c r="D79" s="33"/>
      <c r="E79" s="33"/>
      <c r="F79" s="33"/>
      <c r="G79" s="33"/>
      <c r="H79" s="33"/>
    </row>
    <row r="80" spans="1:8" ht="15.5" x14ac:dyDescent="0.35">
      <c r="A80" s="17" t="s">
        <v>176</v>
      </c>
      <c r="B80" s="17" t="s">
        <v>177</v>
      </c>
      <c r="D80" s="33"/>
      <c r="E80" s="33"/>
      <c r="F80" s="33"/>
      <c r="G80" s="33"/>
      <c r="H80" s="33"/>
    </row>
    <row r="81" spans="1:8" ht="15.5" x14ac:dyDescent="0.35">
      <c r="A81" s="17" t="s">
        <v>178</v>
      </c>
      <c r="B81" s="17" t="s">
        <v>179</v>
      </c>
      <c r="D81" s="33"/>
      <c r="E81" s="33"/>
      <c r="F81" s="33"/>
      <c r="G81" s="33"/>
      <c r="H81" s="33"/>
    </row>
    <row r="82" spans="1:8" ht="15.5" x14ac:dyDescent="0.35">
      <c r="A82" s="17" t="s">
        <v>180</v>
      </c>
      <c r="B82" s="17" t="s">
        <v>181</v>
      </c>
      <c r="D82" s="33"/>
      <c r="E82" s="33"/>
      <c r="F82" s="33"/>
      <c r="G82" s="33"/>
      <c r="H82" s="33"/>
    </row>
    <row r="83" spans="1:8" ht="15.5" x14ac:dyDescent="0.35">
      <c r="A83" s="17" t="s">
        <v>182</v>
      </c>
      <c r="B83" s="17" t="s">
        <v>183</v>
      </c>
      <c r="D83" s="33"/>
      <c r="E83" s="33"/>
      <c r="F83" s="33"/>
      <c r="G83" s="33"/>
      <c r="H83" s="33"/>
    </row>
    <row r="84" spans="1:8" ht="15.5" x14ac:dyDescent="0.35">
      <c r="A84" s="17" t="s">
        <v>184</v>
      </c>
      <c r="B84" s="17" t="s">
        <v>185</v>
      </c>
      <c r="D84" s="33"/>
      <c r="E84" s="33"/>
      <c r="F84" s="33"/>
      <c r="G84" s="33"/>
      <c r="H84" s="33"/>
    </row>
    <row r="85" spans="1:8" ht="15.5" x14ac:dyDescent="0.35">
      <c r="A85" s="17" t="s">
        <v>186</v>
      </c>
      <c r="B85" s="17" t="s">
        <v>187</v>
      </c>
      <c r="D85" s="33"/>
      <c r="E85" s="33"/>
      <c r="F85" s="33"/>
      <c r="G85" s="33"/>
      <c r="H85" s="33"/>
    </row>
    <row r="86" spans="1:8" ht="15.5" x14ac:dyDescent="0.35">
      <c r="A86" s="17" t="s">
        <v>188</v>
      </c>
      <c r="B86" s="17" t="s">
        <v>189</v>
      </c>
      <c r="D86" s="33"/>
      <c r="E86" s="33"/>
      <c r="F86" s="33"/>
      <c r="G86" s="33"/>
      <c r="H86" s="33"/>
    </row>
    <row r="87" spans="1:8" ht="15.5" x14ac:dyDescent="0.35">
      <c r="A87" s="17" t="s">
        <v>190</v>
      </c>
      <c r="B87" s="17" t="s">
        <v>191</v>
      </c>
      <c r="D87" s="33"/>
      <c r="E87" s="33"/>
      <c r="F87" s="33"/>
      <c r="G87" s="33"/>
      <c r="H87" s="33"/>
    </row>
    <row r="88" spans="1:8" ht="15.5" x14ac:dyDescent="0.35">
      <c r="A88" s="17" t="s">
        <v>192</v>
      </c>
      <c r="B88" s="17" t="s">
        <v>193</v>
      </c>
      <c r="D88" s="33"/>
      <c r="E88" s="33"/>
      <c r="F88" s="33"/>
      <c r="G88" s="33"/>
      <c r="H88" s="33"/>
    </row>
    <row r="89" spans="1:8" ht="15.5" x14ac:dyDescent="0.35">
      <c r="A89" s="17" t="s">
        <v>194</v>
      </c>
      <c r="B89" s="17" t="s">
        <v>195</v>
      </c>
      <c r="D89" s="33"/>
      <c r="E89" s="33"/>
      <c r="F89" s="33"/>
      <c r="G89" s="33"/>
      <c r="H89" s="33"/>
    </row>
    <row r="90" spans="1:8" ht="15.5" x14ac:dyDescent="0.35">
      <c r="A90" s="17" t="s">
        <v>196</v>
      </c>
      <c r="B90" s="17" t="s">
        <v>197</v>
      </c>
      <c r="D90" s="33"/>
      <c r="E90" s="33"/>
      <c r="F90" s="33"/>
      <c r="G90" s="33"/>
      <c r="H90" s="33"/>
    </row>
    <row r="91" spans="1:8" ht="15.5" x14ac:dyDescent="0.35">
      <c r="A91" s="17" t="s">
        <v>198</v>
      </c>
      <c r="B91" s="17" t="s">
        <v>199</v>
      </c>
      <c r="D91" s="33"/>
      <c r="E91" s="33"/>
      <c r="F91" s="33"/>
      <c r="G91" s="33"/>
      <c r="H91" s="33"/>
    </row>
    <row r="92" spans="1:8" ht="15.5" x14ac:dyDescent="0.35">
      <c r="A92" s="17" t="s">
        <v>200</v>
      </c>
      <c r="B92" s="17" t="s">
        <v>201</v>
      </c>
      <c r="D92" s="33"/>
      <c r="E92" s="33"/>
      <c r="F92" s="33"/>
      <c r="G92" s="33"/>
      <c r="H92" s="33"/>
    </row>
    <row r="93" spans="1:8" ht="15.5" x14ac:dyDescent="0.35">
      <c r="A93" s="17" t="s">
        <v>202</v>
      </c>
      <c r="B93" s="17" t="s">
        <v>203</v>
      </c>
      <c r="D93" s="33"/>
      <c r="E93" s="33"/>
      <c r="F93" s="33"/>
      <c r="G93" s="33"/>
      <c r="H93" s="33"/>
    </row>
    <row r="94" spans="1:8" ht="15.5" x14ac:dyDescent="0.35">
      <c r="A94" s="17" t="s">
        <v>204</v>
      </c>
      <c r="B94" s="17" t="s">
        <v>205</v>
      </c>
      <c r="D94" s="33"/>
      <c r="E94" s="33"/>
      <c r="F94" s="33"/>
      <c r="G94" s="33"/>
      <c r="H94" s="33"/>
    </row>
    <row r="95" spans="1:8" ht="15.5" x14ac:dyDescent="0.35">
      <c r="A95" s="17" t="s">
        <v>206</v>
      </c>
      <c r="B95" s="17" t="s">
        <v>207</v>
      </c>
      <c r="D95" s="33"/>
      <c r="E95" s="33"/>
      <c r="F95" s="33"/>
      <c r="G95" s="33"/>
      <c r="H95" s="33"/>
    </row>
    <row r="96" spans="1:8" ht="15.5" x14ac:dyDescent="0.35">
      <c r="A96" s="17" t="s">
        <v>208</v>
      </c>
      <c r="B96" s="17" t="s">
        <v>209</v>
      </c>
      <c r="D96" s="33"/>
      <c r="E96" s="33"/>
      <c r="F96" s="33"/>
      <c r="G96" s="33"/>
      <c r="H96" s="33"/>
    </row>
    <row r="97" spans="1:8" ht="15.5" x14ac:dyDescent="0.35">
      <c r="A97" s="17" t="s">
        <v>210</v>
      </c>
      <c r="B97" s="17" t="s">
        <v>211</v>
      </c>
      <c r="D97" s="33"/>
      <c r="E97" s="33"/>
      <c r="F97" s="33"/>
      <c r="G97" s="33"/>
      <c r="H97" s="33"/>
    </row>
    <row r="98" spans="1:8" ht="15.5" x14ac:dyDescent="0.35">
      <c r="A98" s="17" t="s">
        <v>212</v>
      </c>
      <c r="B98" s="17" t="s">
        <v>213</v>
      </c>
      <c r="D98" s="33"/>
      <c r="E98" s="33"/>
      <c r="F98" s="33"/>
      <c r="G98" s="33"/>
      <c r="H98" s="33"/>
    </row>
    <row r="99" spans="1:8" ht="15.5" x14ac:dyDescent="0.35">
      <c r="A99" s="17" t="s">
        <v>214</v>
      </c>
      <c r="B99" s="17" t="s">
        <v>215</v>
      </c>
      <c r="D99" s="33"/>
      <c r="E99" s="33"/>
      <c r="F99" s="33"/>
      <c r="G99" s="33"/>
      <c r="H99" s="33"/>
    </row>
    <row r="100" spans="1:8" ht="15.5" x14ac:dyDescent="0.35">
      <c r="A100" s="17" t="s">
        <v>216</v>
      </c>
      <c r="B100" s="17" t="s">
        <v>217</v>
      </c>
      <c r="D100" s="33"/>
      <c r="E100" s="33"/>
      <c r="F100" s="33"/>
      <c r="G100" s="33"/>
      <c r="H100" s="33"/>
    </row>
    <row r="101" spans="1:8" ht="15.5" x14ac:dyDescent="0.35">
      <c r="A101" s="17" t="s">
        <v>218</v>
      </c>
      <c r="B101" s="17" t="s">
        <v>219</v>
      </c>
      <c r="D101" s="33"/>
      <c r="E101" s="33"/>
      <c r="F101" s="33"/>
      <c r="G101" s="33"/>
      <c r="H101" s="33"/>
    </row>
    <row r="102" spans="1:8" ht="15.5" x14ac:dyDescent="0.35">
      <c r="A102" s="17" t="s">
        <v>220</v>
      </c>
      <c r="B102" s="17" t="s">
        <v>221</v>
      </c>
      <c r="D102" s="33"/>
      <c r="E102" s="33"/>
      <c r="F102" s="33"/>
      <c r="G102" s="33"/>
      <c r="H102" s="33"/>
    </row>
    <row r="103" spans="1:8" ht="15.5" x14ac:dyDescent="0.35">
      <c r="A103" s="17" t="s">
        <v>222</v>
      </c>
      <c r="B103" s="17" t="s">
        <v>223</v>
      </c>
      <c r="D103" s="33"/>
      <c r="E103" s="33"/>
      <c r="F103" s="33"/>
      <c r="G103" s="33"/>
      <c r="H103" s="33"/>
    </row>
    <row r="104" spans="1:8" ht="15.5" x14ac:dyDescent="0.35">
      <c r="A104" s="17" t="s">
        <v>224</v>
      </c>
      <c r="B104" s="17" t="s">
        <v>225</v>
      </c>
      <c r="D104" s="33"/>
      <c r="E104" s="33"/>
      <c r="F104" s="33"/>
      <c r="G104" s="33"/>
      <c r="H104" s="33"/>
    </row>
    <row r="105" spans="1:8" ht="15.5" x14ac:dyDescent="0.35">
      <c r="A105" s="17" t="s">
        <v>226</v>
      </c>
      <c r="B105" s="17" t="s">
        <v>227</v>
      </c>
      <c r="D105" s="33"/>
      <c r="E105" s="33"/>
      <c r="F105" s="33"/>
      <c r="G105" s="33"/>
      <c r="H105" s="33"/>
    </row>
    <row r="106" spans="1:8" ht="15.5" x14ac:dyDescent="0.35">
      <c r="A106" s="17" t="s">
        <v>228</v>
      </c>
      <c r="B106" s="17" t="s">
        <v>229</v>
      </c>
      <c r="D106" s="33"/>
      <c r="E106" s="33"/>
      <c r="F106" s="33"/>
      <c r="G106" s="33"/>
      <c r="H106" s="33"/>
    </row>
    <row r="107" spans="1:8" ht="15.5" x14ac:dyDescent="0.35">
      <c r="A107" s="17" t="s">
        <v>230</v>
      </c>
      <c r="B107" s="17" t="s">
        <v>231</v>
      </c>
      <c r="D107" s="33"/>
      <c r="E107" s="33"/>
      <c r="F107" s="33"/>
      <c r="G107" s="33"/>
      <c r="H107" s="33"/>
    </row>
    <row r="108" spans="1:8" ht="15.5" x14ac:dyDescent="0.35">
      <c r="A108" s="17" t="s">
        <v>232</v>
      </c>
      <c r="B108" s="17" t="s">
        <v>233</v>
      </c>
    </row>
  </sheetData>
  <mergeCells count="3">
    <mergeCell ref="A3:B3"/>
    <mergeCell ref="A2:B2"/>
    <mergeCell ref="A1:B1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>
      <selection activeCell="C4" sqref="C4"/>
    </sheetView>
  </sheetViews>
  <sheetFormatPr defaultRowHeight="14.5" x14ac:dyDescent="0.35"/>
  <cols>
    <col min="1" max="1" width="9.1796875" style="2"/>
    <col min="2" max="2" width="18.453125" customWidth="1"/>
    <col min="3" max="3" width="37.81640625" customWidth="1"/>
    <col min="4" max="4" width="13.54296875" customWidth="1"/>
  </cols>
  <sheetData>
    <row r="1" spans="1:4" ht="15" customHeight="1" x14ac:dyDescent="0.35">
      <c r="A1" s="68" t="s">
        <v>236</v>
      </c>
      <c r="B1" s="68"/>
      <c r="C1" s="68"/>
      <c r="D1" s="68"/>
    </row>
    <row r="2" spans="1:4" ht="29.25" customHeight="1" x14ac:dyDescent="0.35">
      <c r="A2" s="68"/>
      <c r="B2" s="68"/>
      <c r="C2" s="68"/>
      <c r="D2" s="68"/>
    </row>
    <row r="3" spans="1:4" ht="15" customHeight="1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4">
        <v>1</v>
      </c>
      <c r="B4" s="17" t="s">
        <v>26</v>
      </c>
      <c r="C4" s="18" t="s">
        <v>239</v>
      </c>
      <c r="D4" s="4" t="s">
        <v>4</v>
      </c>
    </row>
    <row r="5" spans="1:4" ht="15.5" x14ac:dyDescent="0.35">
      <c r="A5" s="4">
        <v>2</v>
      </c>
      <c r="B5" s="17" t="s">
        <v>27</v>
      </c>
      <c r="C5" s="17" t="s">
        <v>28</v>
      </c>
      <c r="D5" s="4" t="s">
        <v>4</v>
      </c>
    </row>
    <row r="6" spans="1:4" ht="15.5" x14ac:dyDescent="0.35">
      <c r="A6" s="4">
        <v>3</v>
      </c>
      <c r="B6" s="17" t="s">
        <v>29</v>
      </c>
      <c r="C6" s="17" t="s">
        <v>30</v>
      </c>
      <c r="D6" s="4" t="s">
        <v>4</v>
      </c>
    </row>
    <row r="7" spans="1:4" ht="15.5" x14ac:dyDescent="0.35">
      <c r="A7" s="4">
        <v>4</v>
      </c>
      <c r="B7" s="17" t="s">
        <v>31</v>
      </c>
      <c r="C7" s="17" t="s">
        <v>32</v>
      </c>
      <c r="D7" s="4" t="s">
        <v>4</v>
      </c>
    </row>
    <row r="8" spans="1:4" ht="15.5" x14ac:dyDescent="0.35">
      <c r="A8" s="4">
        <v>5</v>
      </c>
      <c r="B8" s="17" t="s">
        <v>33</v>
      </c>
      <c r="C8" s="17" t="s">
        <v>34</v>
      </c>
      <c r="D8" s="4" t="s">
        <v>4</v>
      </c>
    </row>
    <row r="9" spans="1:4" ht="15.5" x14ac:dyDescent="0.35">
      <c r="A9" s="4">
        <v>6</v>
      </c>
      <c r="B9" s="17" t="s">
        <v>35</v>
      </c>
      <c r="C9" s="17" t="s">
        <v>36</v>
      </c>
      <c r="D9" s="4" t="s">
        <v>4</v>
      </c>
    </row>
    <row r="10" spans="1:4" ht="15.5" x14ac:dyDescent="0.35">
      <c r="A10" s="4">
        <v>7</v>
      </c>
      <c r="B10" s="17" t="s">
        <v>37</v>
      </c>
      <c r="C10" s="17" t="s">
        <v>38</v>
      </c>
      <c r="D10" s="4" t="s">
        <v>4</v>
      </c>
    </row>
    <row r="11" spans="1:4" ht="15.5" x14ac:dyDescent="0.35">
      <c r="A11" s="4">
        <v>8</v>
      </c>
      <c r="B11" s="17" t="s">
        <v>39</v>
      </c>
      <c r="C11" s="17" t="s">
        <v>40</v>
      </c>
      <c r="D11" s="4" t="s">
        <v>4</v>
      </c>
    </row>
    <row r="12" spans="1:4" ht="15.5" x14ac:dyDescent="0.35">
      <c r="A12" s="4">
        <v>9</v>
      </c>
      <c r="B12" s="17" t="s">
        <v>41</v>
      </c>
      <c r="C12" s="17" t="s">
        <v>42</v>
      </c>
      <c r="D12" s="4" t="s">
        <v>4</v>
      </c>
    </row>
    <row r="13" spans="1:4" ht="15.5" x14ac:dyDescent="0.35">
      <c r="A13" s="4">
        <v>10</v>
      </c>
      <c r="B13" s="17" t="s">
        <v>43</v>
      </c>
      <c r="C13" s="17" t="s">
        <v>44</v>
      </c>
      <c r="D13" s="4" t="s">
        <v>4</v>
      </c>
    </row>
    <row r="14" spans="1:4" ht="15.5" x14ac:dyDescent="0.35">
      <c r="A14" s="4">
        <v>11</v>
      </c>
      <c r="B14" s="17" t="s">
        <v>45</v>
      </c>
      <c r="C14" s="17" t="s">
        <v>235</v>
      </c>
      <c r="D14" s="4" t="s">
        <v>4</v>
      </c>
    </row>
    <row r="15" spans="1:4" ht="15.5" x14ac:dyDescent="0.35">
      <c r="A15" s="4">
        <v>12</v>
      </c>
      <c r="B15" s="17" t="s">
        <v>46</v>
      </c>
      <c r="C15" s="17" t="s">
        <v>47</v>
      </c>
      <c r="D15" s="4" t="s">
        <v>4</v>
      </c>
    </row>
    <row r="16" spans="1:4" ht="15.5" x14ac:dyDescent="0.35">
      <c r="A16" s="4">
        <v>13</v>
      </c>
      <c r="B16" s="17" t="s">
        <v>48</v>
      </c>
      <c r="C16" s="17" t="s">
        <v>49</v>
      </c>
      <c r="D16" s="4" t="s">
        <v>4</v>
      </c>
    </row>
    <row r="17" spans="1:4" ht="15.5" x14ac:dyDescent="0.35">
      <c r="A17" s="4">
        <v>14</v>
      </c>
      <c r="B17" s="17" t="s">
        <v>50</v>
      </c>
      <c r="C17" s="17" t="s">
        <v>51</v>
      </c>
      <c r="D17" s="4" t="s">
        <v>4</v>
      </c>
    </row>
    <row r="18" spans="1:4" ht="15.5" x14ac:dyDescent="0.35">
      <c r="A18" s="4">
        <v>15</v>
      </c>
      <c r="B18" s="17" t="s">
        <v>52</v>
      </c>
      <c r="C18" s="17" t="s">
        <v>53</v>
      </c>
      <c r="D18" s="4" t="s">
        <v>4</v>
      </c>
    </row>
    <row r="19" spans="1:4" ht="15.5" x14ac:dyDescent="0.35">
      <c r="A19" s="4">
        <v>16</v>
      </c>
      <c r="B19" s="17" t="s">
        <v>54</v>
      </c>
      <c r="C19" s="17" t="s">
        <v>55</v>
      </c>
      <c r="D19" s="4" t="s">
        <v>4</v>
      </c>
    </row>
    <row r="20" spans="1:4" ht="15.5" x14ac:dyDescent="0.35">
      <c r="A20" s="4">
        <v>17</v>
      </c>
      <c r="B20" s="17" t="s">
        <v>56</v>
      </c>
      <c r="C20" s="17" t="s">
        <v>57</v>
      </c>
      <c r="D20" s="4" t="s">
        <v>4</v>
      </c>
    </row>
    <row r="21" spans="1:4" ht="15.5" x14ac:dyDescent="0.35">
      <c r="A21" s="4">
        <v>18</v>
      </c>
      <c r="B21" s="17" t="s">
        <v>58</v>
      </c>
      <c r="C21" s="17" t="s">
        <v>59</v>
      </c>
      <c r="D21" s="4" t="s">
        <v>4</v>
      </c>
    </row>
    <row r="22" spans="1:4" ht="15.5" x14ac:dyDescent="0.35">
      <c r="A22" s="4">
        <v>19</v>
      </c>
      <c r="B22" s="17" t="s">
        <v>60</v>
      </c>
      <c r="C22" s="17" t="s">
        <v>61</v>
      </c>
      <c r="D22" s="4" t="s">
        <v>4</v>
      </c>
    </row>
    <row r="23" spans="1:4" ht="15.5" x14ac:dyDescent="0.35">
      <c r="A23" s="4">
        <v>20</v>
      </c>
      <c r="B23" s="17" t="s">
        <v>62</v>
      </c>
      <c r="C23" s="17" t="s">
        <v>63</v>
      </c>
      <c r="D23" s="4" t="s">
        <v>4</v>
      </c>
    </row>
    <row r="24" spans="1:4" ht="15.5" x14ac:dyDescent="0.35">
      <c r="A24" s="4">
        <v>21</v>
      </c>
      <c r="B24" s="17" t="s">
        <v>64</v>
      </c>
      <c r="C24" s="17" t="s">
        <v>65</v>
      </c>
      <c r="D24" s="4" t="s">
        <v>4</v>
      </c>
    </row>
    <row r="25" spans="1:4" ht="15.5" x14ac:dyDescent="0.35">
      <c r="A25" s="4">
        <v>22</v>
      </c>
      <c r="B25" s="17" t="s">
        <v>66</v>
      </c>
      <c r="C25" s="17" t="s">
        <v>67</v>
      </c>
      <c r="D25" s="4" t="s">
        <v>4</v>
      </c>
    </row>
    <row r="26" spans="1:4" ht="15.5" x14ac:dyDescent="0.35">
      <c r="A26" s="4">
        <v>23</v>
      </c>
      <c r="B26" s="17" t="s">
        <v>68</v>
      </c>
      <c r="C26" s="17" t="s">
        <v>69</v>
      </c>
      <c r="D26" s="4" t="s">
        <v>4</v>
      </c>
    </row>
    <row r="27" spans="1:4" ht="15.5" x14ac:dyDescent="0.35">
      <c r="A27" s="4">
        <v>24</v>
      </c>
      <c r="B27" s="17" t="s">
        <v>70</v>
      </c>
      <c r="C27" s="17" t="s">
        <v>71</v>
      </c>
      <c r="D27" s="4" t="s">
        <v>4</v>
      </c>
    </row>
    <row r="28" spans="1:4" ht="15.5" x14ac:dyDescent="0.35">
      <c r="A28" s="4">
        <v>25</v>
      </c>
      <c r="B28" s="17" t="s">
        <v>72</v>
      </c>
      <c r="C28" s="17" t="s">
        <v>73</v>
      </c>
      <c r="D28" s="4" t="s">
        <v>4</v>
      </c>
    </row>
    <row r="29" spans="1:4" ht="15.5" x14ac:dyDescent="0.35">
      <c r="A29" s="4">
        <v>26</v>
      </c>
      <c r="B29" s="17" t="s">
        <v>74</v>
      </c>
      <c r="C29" s="17" t="s">
        <v>75</v>
      </c>
      <c r="D29" s="4" t="s">
        <v>4</v>
      </c>
    </row>
    <row r="30" spans="1:4" ht="15.5" x14ac:dyDescent="0.35">
      <c r="A30" s="4">
        <v>27</v>
      </c>
      <c r="B30" s="17" t="s">
        <v>76</v>
      </c>
      <c r="C30" s="17" t="s">
        <v>77</v>
      </c>
      <c r="D30" s="4" t="s">
        <v>4</v>
      </c>
    </row>
    <row r="31" spans="1:4" ht="15.5" x14ac:dyDescent="0.35">
      <c r="A31" s="4">
        <v>28</v>
      </c>
      <c r="B31" s="17" t="s">
        <v>78</v>
      </c>
      <c r="C31" s="17" t="s">
        <v>79</v>
      </c>
      <c r="D31" s="4" t="s">
        <v>4</v>
      </c>
    </row>
    <row r="32" spans="1:4" ht="15.5" x14ac:dyDescent="0.35">
      <c r="A32" s="4">
        <v>29</v>
      </c>
      <c r="B32" s="17" t="s">
        <v>80</v>
      </c>
      <c r="C32" s="17" t="s">
        <v>81</v>
      </c>
      <c r="D32" s="4" t="s">
        <v>4</v>
      </c>
    </row>
    <row r="33" spans="1:4" ht="15.5" x14ac:dyDescent="0.35">
      <c r="A33" s="4">
        <v>30</v>
      </c>
      <c r="B33" s="17" t="s">
        <v>82</v>
      </c>
      <c r="C33" s="17" t="s">
        <v>83</v>
      </c>
      <c r="D33" s="4" t="s">
        <v>4</v>
      </c>
    </row>
    <row r="34" spans="1:4" ht="15.5" x14ac:dyDescent="0.35">
      <c r="A34" s="4">
        <v>31</v>
      </c>
      <c r="B34" s="17" t="s">
        <v>84</v>
      </c>
      <c r="C34" s="17" t="s">
        <v>85</v>
      </c>
      <c r="D34" s="4" t="s">
        <v>4</v>
      </c>
    </row>
    <row r="35" spans="1:4" ht="15.5" x14ac:dyDescent="0.35">
      <c r="A35" s="4">
        <v>32</v>
      </c>
      <c r="B35" s="17" t="s">
        <v>86</v>
      </c>
      <c r="C35" s="17" t="s">
        <v>87</v>
      </c>
      <c r="D35" s="4" t="s">
        <v>4</v>
      </c>
    </row>
    <row r="36" spans="1:4" ht="15.5" x14ac:dyDescent="0.35">
      <c r="A36" s="4">
        <v>33</v>
      </c>
      <c r="B36" s="17" t="s">
        <v>88</v>
      </c>
      <c r="C36" s="17" t="s">
        <v>89</v>
      </c>
      <c r="D36" s="4" t="s">
        <v>4</v>
      </c>
    </row>
    <row r="37" spans="1:4" ht="15.5" x14ac:dyDescent="0.35">
      <c r="A37" s="4">
        <v>34</v>
      </c>
      <c r="B37" s="17" t="s">
        <v>90</v>
      </c>
      <c r="C37" s="18" t="s">
        <v>91</v>
      </c>
      <c r="D37" s="4" t="s">
        <v>4</v>
      </c>
    </row>
    <row r="38" spans="1:4" ht="15.5" x14ac:dyDescent="0.35">
      <c r="A38" s="4">
        <v>35</v>
      </c>
      <c r="B38" s="17" t="s">
        <v>92</v>
      </c>
      <c r="C38" s="17" t="s">
        <v>93</v>
      </c>
      <c r="D38" s="4" t="s">
        <v>4</v>
      </c>
    </row>
    <row r="39" spans="1:4" ht="15.5" x14ac:dyDescent="0.35">
      <c r="A39" s="4">
        <v>36</v>
      </c>
      <c r="B39" s="17" t="s">
        <v>94</v>
      </c>
      <c r="C39" s="17" t="s">
        <v>95</v>
      </c>
      <c r="D39" s="4" t="s">
        <v>4</v>
      </c>
    </row>
    <row r="40" spans="1:4" ht="15.5" x14ac:dyDescent="0.35">
      <c r="A40" s="4">
        <v>37</v>
      </c>
      <c r="B40" s="17" t="s">
        <v>96</v>
      </c>
      <c r="C40" s="17" t="s">
        <v>97</v>
      </c>
      <c r="D40" s="4" t="s">
        <v>4</v>
      </c>
    </row>
    <row r="41" spans="1:4" ht="15.5" x14ac:dyDescent="0.35">
      <c r="A41" s="4">
        <v>38</v>
      </c>
      <c r="B41" s="17" t="s">
        <v>98</v>
      </c>
      <c r="C41" s="17" t="s">
        <v>99</v>
      </c>
      <c r="D41" s="4" t="s">
        <v>4</v>
      </c>
    </row>
    <row r="42" spans="1:4" ht="15.5" x14ac:dyDescent="0.35">
      <c r="A42" s="4">
        <v>39</v>
      </c>
      <c r="B42" s="17" t="s">
        <v>100</v>
      </c>
      <c r="C42" s="17" t="s">
        <v>101</v>
      </c>
      <c r="D42" s="4" t="s">
        <v>4</v>
      </c>
    </row>
    <row r="43" spans="1:4" ht="15.5" x14ac:dyDescent="0.35">
      <c r="A43" s="4">
        <v>40</v>
      </c>
      <c r="B43" s="17" t="s">
        <v>102</v>
      </c>
      <c r="C43" s="17" t="s">
        <v>103</v>
      </c>
      <c r="D43" s="4" t="s">
        <v>4</v>
      </c>
    </row>
    <row r="44" spans="1:4" ht="15.5" x14ac:dyDescent="0.35">
      <c r="A44" s="4">
        <v>41</v>
      </c>
      <c r="B44" s="17" t="s">
        <v>104</v>
      </c>
      <c r="C44" s="17" t="s">
        <v>105</v>
      </c>
      <c r="D44" s="4" t="s">
        <v>4</v>
      </c>
    </row>
    <row r="45" spans="1:4" ht="15.5" x14ac:dyDescent="0.35">
      <c r="A45" s="4">
        <v>42</v>
      </c>
      <c r="B45" s="17" t="s">
        <v>106</v>
      </c>
      <c r="C45" s="17" t="s">
        <v>107</v>
      </c>
      <c r="D45" s="4" t="s">
        <v>4</v>
      </c>
    </row>
    <row r="46" spans="1:4" ht="15.5" x14ac:dyDescent="0.35">
      <c r="A46" s="4">
        <v>43</v>
      </c>
      <c r="B46" s="17" t="s">
        <v>108</v>
      </c>
      <c r="C46" s="17" t="s">
        <v>109</v>
      </c>
      <c r="D46" s="4" t="s">
        <v>4</v>
      </c>
    </row>
    <row r="47" spans="1:4" ht="15.5" x14ac:dyDescent="0.35">
      <c r="A47" s="4">
        <v>44</v>
      </c>
      <c r="B47" s="17" t="s">
        <v>110</v>
      </c>
      <c r="C47" s="17" t="s">
        <v>111</v>
      </c>
      <c r="D47" s="4" t="s">
        <v>4</v>
      </c>
    </row>
    <row r="48" spans="1:4" ht="15.5" x14ac:dyDescent="0.35">
      <c r="A48" s="4">
        <v>45</v>
      </c>
      <c r="B48" s="17" t="s">
        <v>112</v>
      </c>
      <c r="C48" s="17" t="s">
        <v>113</v>
      </c>
      <c r="D48" s="4" t="s">
        <v>4</v>
      </c>
    </row>
    <row r="49" spans="1:4" ht="15.5" x14ac:dyDescent="0.35">
      <c r="A49" s="4">
        <v>46</v>
      </c>
      <c r="B49" s="17" t="s">
        <v>114</v>
      </c>
      <c r="C49" s="17" t="s">
        <v>115</v>
      </c>
      <c r="D49" s="4" t="s">
        <v>4</v>
      </c>
    </row>
    <row r="50" spans="1:4" ht="15.5" x14ac:dyDescent="0.35">
      <c r="A50" s="4">
        <v>47</v>
      </c>
      <c r="B50" s="17" t="s">
        <v>116</v>
      </c>
      <c r="C50" s="17" t="s">
        <v>117</v>
      </c>
      <c r="D50" s="4" t="s">
        <v>4</v>
      </c>
    </row>
    <row r="51" spans="1:4" ht="15.5" x14ac:dyDescent="0.35">
      <c r="A51" s="4">
        <v>48</v>
      </c>
      <c r="B51" s="17" t="s">
        <v>118</v>
      </c>
      <c r="C51" s="17" t="s">
        <v>119</v>
      </c>
      <c r="D51" s="4" t="s">
        <v>4</v>
      </c>
    </row>
    <row r="52" spans="1:4" ht="15.5" x14ac:dyDescent="0.35">
      <c r="A52" s="4">
        <v>49</v>
      </c>
      <c r="B52" s="17" t="s">
        <v>120</v>
      </c>
      <c r="C52" s="17" t="s">
        <v>121</v>
      </c>
      <c r="D52" s="4" t="s">
        <v>4</v>
      </c>
    </row>
    <row r="53" spans="1:4" ht="15.5" x14ac:dyDescent="0.35">
      <c r="A53" s="4">
        <v>50</v>
      </c>
      <c r="B53" s="17" t="s">
        <v>122</v>
      </c>
      <c r="C53" s="17" t="s">
        <v>123</v>
      </c>
      <c r="D53" s="4" t="s">
        <v>4</v>
      </c>
    </row>
    <row r="54" spans="1:4" ht="15.5" x14ac:dyDescent="0.35">
      <c r="A54" s="4">
        <v>51</v>
      </c>
      <c r="B54" s="17" t="s">
        <v>124</v>
      </c>
      <c r="C54" s="17" t="s">
        <v>125</v>
      </c>
      <c r="D54" s="4" t="s">
        <v>4</v>
      </c>
    </row>
    <row r="55" spans="1:4" ht="15.5" x14ac:dyDescent="0.35">
      <c r="A55" s="4">
        <v>52</v>
      </c>
      <c r="B55" s="17" t="s">
        <v>126</v>
      </c>
      <c r="C55" s="17" t="s">
        <v>127</v>
      </c>
      <c r="D55" s="4" t="s">
        <v>4</v>
      </c>
    </row>
    <row r="56" spans="1:4" ht="15.5" x14ac:dyDescent="0.35">
      <c r="A56" s="4">
        <v>53</v>
      </c>
      <c r="B56" s="17" t="s">
        <v>128</v>
      </c>
      <c r="C56" s="17" t="s">
        <v>129</v>
      </c>
      <c r="D56" s="4" t="s">
        <v>4</v>
      </c>
    </row>
    <row r="57" spans="1:4" ht="15.5" x14ac:dyDescent="0.35">
      <c r="A57" s="4">
        <v>54</v>
      </c>
      <c r="B57" s="17" t="s">
        <v>130</v>
      </c>
      <c r="C57" s="17" t="s">
        <v>131</v>
      </c>
      <c r="D57" s="4" t="s">
        <v>4</v>
      </c>
    </row>
    <row r="58" spans="1:4" ht="15.5" x14ac:dyDescent="0.35">
      <c r="A58" s="4">
        <v>55</v>
      </c>
      <c r="B58" s="17" t="s">
        <v>132</v>
      </c>
      <c r="C58" s="17" t="s">
        <v>133</v>
      </c>
      <c r="D58" s="4" t="s">
        <v>4</v>
      </c>
    </row>
    <row r="59" spans="1:4" ht="15.5" x14ac:dyDescent="0.35">
      <c r="A59" s="4">
        <v>56</v>
      </c>
      <c r="B59" s="17" t="s">
        <v>134</v>
      </c>
      <c r="C59" s="17" t="s">
        <v>135</v>
      </c>
      <c r="D59" s="4" t="s">
        <v>4</v>
      </c>
    </row>
    <row r="60" spans="1:4" ht="15.5" x14ac:dyDescent="0.35">
      <c r="A60" s="4">
        <v>57</v>
      </c>
      <c r="B60" s="17" t="s">
        <v>136</v>
      </c>
      <c r="C60" s="17" t="s">
        <v>137</v>
      </c>
      <c r="D60" s="4" t="s">
        <v>4</v>
      </c>
    </row>
    <row r="61" spans="1:4" ht="15.5" x14ac:dyDescent="0.35">
      <c r="A61" s="4">
        <v>58</v>
      </c>
      <c r="B61" s="17" t="s">
        <v>138</v>
      </c>
      <c r="C61" s="17" t="s">
        <v>139</v>
      </c>
      <c r="D61" s="4" t="s">
        <v>4</v>
      </c>
    </row>
    <row r="62" spans="1:4" ht="15.5" x14ac:dyDescent="0.35">
      <c r="A62" s="4">
        <v>59</v>
      </c>
      <c r="B62" s="17" t="s">
        <v>140</v>
      </c>
      <c r="C62" s="17" t="s">
        <v>141</v>
      </c>
      <c r="D62" s="4" t="s">
        <v>4</v>
      </c>
    </row>
    <row r="63" spans="1:4" ht="15.5" x14ac:dyDescent="0.35">
      <c r="A63" s="4">
        <v>60</v>
      </c>
      <c r="B63" s="17" t="s">
        <v>142</v>
      </c>
      <c r="C63" s="17" t="s">
        <v>143</v>
      </c>
      <c r="D63" s="4" t="s">
        <v>4</v>
      </c>
    </row>
    <row r="64" spans="1:4" ht="15.5" x14ac:dyDescent="0.35">
      <c r="A64" s="4">
        <v>61</v>
      </c>
      <c r="B64" s="17" t="s">
        <v>144</v>
      </c>
      <c r="C64" s="17" t="s">
        <v>145</v>
      </c>
      <c r="D64" s="4" t="s">
        <v>4</v>
      </c>
    </row>
    <row r="65" spans="1:4" ht="15.5" x14ac:dyDescent="0.35">
      <c r="A65" s="4">
        <v>62</v>
      </c>
      <c r="B65" s="17" t="s">
        <v>146</v>
      </c>
      <c r="C65" s="17" t="s">
        <v>147</v>
      </c>
      <c r="D65" s="4" t="s">
        <v>4</v>
      </c>
    </row>
    <row r="66" spans="1:4" ht="15.5" x14ac:dyDescent="0.35">
      <c r="A66" s="4">
        <v>63</v>
      </c>
      <c r="B66" s="17" t="s">
        <v>148</v>
      </c>
      <c r="C66" s="18" t="s">
        <v>149</v>
      </c>
      <c r="D66" s="4" t="s">
        <v>4</v>
      </c>
    </row>
    <row r="67" spans="1:4" ht="15.5" x14ac:dyDescent="0.35">
      <c r="A67" s="4">
        <v>64</v>
      </c>
      <c r="B67" s="17" t="s">
        <v>150</v>
      </c>
      <c r="C67" s="17" t="s">
        <v>151</v>
      </c>
      <c r="D67" s="4" t="s">
        <v>4</v>
      </c>
    </row>
    <row r="68" spans="1:4" ht="15.5" x14ac:dyDescent="0.35">
      <c r="A68" s="4">
        <v>65</v>
      </c>
      <c r="B68" s="17" t="s">
        <v>152</v>
      </c>
      <c r="C68" s="17" t="s">
        <v>153</v>
      </c>
      <c r="D68" s="4" t="s">
        <v>4</v>
      </c>
    </row>
    <row r="69" spans="1:4" ht="15.5" x14ac:dyDescent="0.35">
      <c r="A69" s="4">
        <v>66</v>
      </c>
      <c r="B69" s="17" t="s">
        <v>154</v>
      </c>
      <c r="C69" s="17" t="s">
        <v>155</v>
      </c>
      <c r="D69" s="4" t="s">
        <v>4</v>
      </c>
    </row>
    <row r="70" spans="1:4" ht="15.5" x14ac:dyDescent="0.35">
      <c r="A70" s="4">
        <v>67</v>
      </c>
      <c r="B70" s="17" t="s">
        <v>156</v>
      </c>
      <c r="C70" s="17" t="s">
        <v>157</v>
      </c>
      <c r="D70" s="4" t="s">
        <v>4</v>
      </c>
    </row>
    <row r="71" spans="1:4" ht="15.5" x14ac:dyDescent="0.35">
      <c r="A71" s="4">
        <v>68</v>
      </c>
      <c r="B71" s="17" t="s">
        <v>158</v>
      </c>
      <c r="C71" s="17" t="s">
        <v>159</v>
      </c>
      <c r="D71" s="4" t="s">
        <v>4</v>
      </c>
    </row>
    <row r="72" spans="1:4" ht="15.5" x14ac:dyDescent="0.35">
      <c r="A72" s="4">
        <v>69</v>
      </c>
      <c r="B72" s="17" t="s">
        <v>160</v>
      </c>
      <c r="C72" s="17" t="s">
        <v>161</v>
      </c>
      <c r="D72" s="4" t="s">
        <v>4</v>
      </c>
    </row>
    <row r="73" spans="1:4" ht="15.5" x14ac:dyDescent="0.35">
      <c r="A73" s="4">
        <v>70</v>
      </c>
      <c r="B73" s="17" t="s">
        <v>162</v>
      </c>
      <c r="C73" s="17" t="s">
        <v>163</v>
      </c>
      <c r="D73" s="4" t="s">
        <v>4</v>
      </c>
    </row>
    <row r="74" spans="1:4" ht="15.5" x14ac:dyDescent="0.35">
      <c r="A74" s="4">
        <v>71</v>
      </c>
      <c r="B74" s="17" t="s">
        <v>164</v>
      </c>
      <c r="C74" s="17" t="s">
        <v>165</v>
      </c>
      <c r="D74" s="4" t="s">
        <v>4</v>
      </c>
    </row>
    <row r="75" spans="1:4" ht="15.5" x14ac:dyDescent="0.35">
      <c r="A75" s="4">
        <v>72</v>
      </c>
      <c r="B75" s="17" t="s">
        <v>166</v>
      </c>
      <c r="C75" s="17" t="s">
        <v>167</v>
      </c>
      <c r="D75" s="4" t="s">
        <v>4</v>
      </c>
    </row>
    <row r="76" spans="1:4" ht="15.5" x14ac:dyDescent="0.35">
      <c r="A76" s="4">
        <v>73</v>
      </c>
      <c r="B76" s="17" t="s">
        <v>168</v>
      </c>
      <c r="C76" s="17" t="s">
        <v>169</v>
      </c>
      <c r="D76" s="4" t="s">
        <v>4</v>
      </c>
    </row>
    <row r="77" spans="1:4" ht="15.5" x14ac:dyDescent="0.35">
      <c r="A77" s="4">
        <v>74</v>
      </c>
      <c r="B77" s="17" t="s">
        <v>170</v>
      </c>
      <c r="C77" s="17" t="s">
        <v>171</v>
      </c>
      <c r="D77" s="4" t="s">
        <v>4</v>
      </c>
    </row>
    <row r="78" spans="1:4" ht="15.5" x14ac:dyDescent="0.35">
      <c r="A78" s="4">
        <v>75</v>
      </c>
      <c r="B78" s="17" t="s">
        <v>172</v>
      </c>
      <c r="C78" s="17" t="s">
        <v>173</v>
      </c>
      <c r="D78" s="4" t="s">
        <v>4</v>
      </c>
    </row>
    <row r="79" spans="1:4" ht="15.5" x14ac:dyDescent="0.35">
      <c r="A79" s="4">
        <v>76</v>
      </c>
      <c r="B79" s="17" t="s">
        <v>174</v>
      </c>
      <c r="C79" s="17" t="s">
        <v>175</v>
      </c>
      <c r="D79" s="4" t="s">
        <v>4</v>
      </c>
    </row>
    <row r="80" spans="1:4" ht="15.5" x14ac:dyDescent="0.35">
      <c r="A80" s="4">
        <v>77</v>
      </c>
      <c r="B80" s="17" t="s">
        <v>176</v>
      </c>
      <c r="C80" s="17" t="s">
        <v>177</v>
      </c>
      <c r="D80" s="4" t="s">
        <v>4</v>
      </c>
    </row>
    <row r="81" spans="1:4" ht="15.5" x14ac:dyDescent="0.35">
      <c r="A81" s="4">
        <v>78</v>
      </c>
      <c r="B81" s="17" t="s">
        <v>178</v>
      </c>
      <c r="C81" s="17" t="s">
        <v>179</v>
      </c>
      <c r="D81" s="4" t="s">
        <v>4</v>
      </c>
    </row>
    <row r="82" spans="1:4" ht="15.5" x14ac:dyDescent="0.35">
      <c r="A82" s="4">
        <v>79</v>
      </c>
      <c r="B82" s="17" t="s">
        <v>180</v>
      </c>
      <c r="C82" s="17" t="s">
        <v>181</v>
      </c>
      <c r="D82" s="4" t="s">
        <v>4</v>
      </c>
    </row>
    <row r="83" spans="1:4" ht="15.5" x14ac:dyDescent="0.35">
      <c r="A83" s="4">
        <v>80</v>
      </c>
      <c r="B83" s="17" t="s">
        <v>182</v>
      </c>
      <c r="C83" s="17" t="s">
        <v>183</v>
      </c>
      <c r="D83" s="4" t="s">
        <v>4</v>
      </c>
    </row>
    <row r="84" spans="1:4" ht="15.5" x14ac:dyDescent="0.35">
      <c r="A84" s="4">
        <v>81</v>
      </c>
      <c r="B84" s="17" t="s">
        <v>184</v>
      </c>
      <c r="C84" s="17" t="s">
        <v>185</v>
      </c>
      <c r="D84" s="4" t="s">
        <v>4</v>
      </c>
    </row>
    <row r="85" spans="1:4" ht="15.5" x14ac:dyDescent="0.35">
      <c r="A85" s="4">
        <v>82</v>
      </c>
      <c r="B85" s="17" t="s">
        <v>186</v>
      </c>
      <c r="C85" s="17" t="s">
        <v>187</v>
      </c>
      <c r="D85" s="4" t="s">
        <v>4</v>
      </c>
    </row>
    <row r="86" spans="1:4" ht="15.5" x14ac:dyDescent="0.35">
      <c r="A86" s="4">
        <v>83</v>
      </c>
      <c r="B86" s="17" t="s">
        <v>188</v>
      </c>
      <c r="C86" s="17" t="s">
        <v>189</v>
      </c>
      <c r="D86" s="4" t="s">
        <v>4</v>
      </c>
    </row>
    <row r="87" spans="1:4" ht="15.5" x14ac:dyDescent="0.35">
      <c r="A87" s="4">
        <v>84</v>
      </c>
      <c r="B87" s="17" t="s">
        <v>190</v>
      </c>
      <c r="C87" s="17" t="s">
        <v>191</v>
      </c>
      <c r="D87" s="4" t="s">
        <v>4</v>
      </c>
    </row>
    <row r="88" spans="1:4" ht="15.5" x14ac:dyDescent="0.35">
      <c r="A88" s="4">
        <v>85</v>
      </c>
      <c r="B88" s="17" t="s">
        <v>192</v>
      </c>
      <c r="C88" s="17" t="s">
        <v>193</v>
      </c>
      <c r="D88" s="4" t="s">
        <v>4</v>
      </c>
    </row>
    <row r="89" spans="1:4" ht="15.5" x14ac:dyDescent="0.35">
      <c r="A89" s="4">
        <v>86</v>
      </c>
      <c r="B89" s="17" t="s">
        <v>194</v>
      </c>
      <c r="C89" s="17" t="s">
        <v>195</v>
      </c>
      <c r="D89" s="4" t="s">
        <v>4</v>
      </c>
    </row>
    <row r="90" spans="1:4" ht="15.5" x14ac:dyDescent="0.35">
      <c r="A90" s="4">
        <v>87</v>
      </c>
      <c r="B90" s="17" t="s">
        <v>196</v>
      </c>
      <c r="C90" s="17" t="s">
        <v>197</v>
      </c>
      <c r="D90" s="4" t="s">
        <v>4</v>
      </c>
    </row>
    <row r="91" spans="1:4" ht="15.5" x14ac:dyDescent="0.35">
      <c r="A91" s="4">
        <v>88</v>
      </c>
      <c r="B91" s="17" t="s">
        <v>198</v>
      </c>
      <c r="C91" s="17" t="s">
        <v>199</v>
      </c>
      <c r="D91" s="4" t="s">
        <v>4</v>
      </c>
    </row>
    <row r="92" spans="1:4" ht="15.5" x14ac:dyDescent="0.35">
      <c r="A92" s="4">
        <v>89</v>
      </c>
      <c r="B92" s="17" t="s">
        <v>200</v>
      </c>
      <c r="C92" s="17" t="s">
        <v>201</v>
      </c>
      <c r="D92" s="4" t="s">
        <v>4</v>
      </c>
    </row>
    <row r="93" spans="1:4" ht="15.5" x14ac:dyDescent="0.35">
      <c r="A93" s="4">
        <v>90</v>
      </c>
      <c r="B93" s="17" t="s">
        <v>202</v>
      </c>
      <c r="C93" s="17" t="s">
        <v>203</v>
      </c>
      <c r="D93" s="4" t="s">
        <v>4</v>
      </c>
    </row>
    <row r="94" spans="1:4" ht="15.5" x14ac:dyDescent="0.35">
      <c r="A94" s="4">
        <v>91</v>
      </c>
      <c r="B94" s="17" t="s">
        <v>204</v>
      </c>
      <c r="C94" s="17" t="s">
        <v>205</v>
      </c>
      <c r="D94" s="4" t="s">
        <v>4</v>
      </c>
    </row>
    <row r="95" spans="1:4" ht="15.5" x14ac:dyDescent="0.35">
      <c r="A95" s="4">
        <v>92</v>
      </c>
      <c r="B95" s="17" t="s">
        <v>206</v>
      </c>
      <c r="C95" s="17" t="s">
        <v>207</v>
      </c>
      <c r="D95" s="4" t="s">
        <v>4</v>
      </c>
    </row>
    <row r="96" spans="1:4" ht="15.5" x14ac:dyDescent="0.35">
      <c r="A96" s="4">
        <v>93</v>
      </c>
      <c r="B96" s="17" t="s">
        <v>208</v>
      </c>
      <c r="C96" s="17" t="s">
        <v>209</v>
      </c>
      <c r="D96" s="4" t="s">
        <v>4</v>
      </c>
    </row>
    <row r="97" spans="1:4" ht="15.5" x14ac:dyDescent="0.35">
      <c r="A97" s="4">
        <v>94</v>
      </c>
      <c r="B97" s="17" t="s">
        <v>210</v>
      </c>
      <c r="C97" s="17" t="s">
        <v>211</v>
      </c>
      <c r="D97" s="4" t="s">
        <v>4</v>
      </c>
    </row>
    <row r="98" spans="1:4" ht="15.5" x14ac:dyDescent="0.35">
      <c r="A98" s="4">
        <v>95</v>
      </c>
      <c r="B98" s="17" t="s">
        <v>212</v>
      </c>
      <c r="C98" s="17" t="s">
        <v>213</v>
      </c>
      <c r="D98" s="4" t="s">
        <v>4</v>
      </c>
    </row>
    <row r="99" spans="1:4" ht="15.5" x14ac:dyDescent="0.35">
      <c r="A99" s="4">
        <v>96</v>
      </c>
      <c r="B99" s="17" t="s">
        <v>214</v>
      </c>
      <c r="C99" s="17" t="s">
        <v>215</v>
      </c>
      <c r="D99" s="4" t="s">
        <v>4</v>
      </c>
    </row>
    <row r="100" spans="1:4" ht="15.5" x14ac:dyDescent="0.35">
      <c r="A100" s="4">
        <v>97</v>
      </c>
      <c r="B100" s="17" t="s">
        <v>216</v>
      </c>
      <c r="C100" s="17" t="s">
        <v>217</v>
      </c>
      <c r="D100" s="4" t="s">
        <v>4</v>
      </c>
    </row>
    <row r="101" spans="1:4" ht="15.5" x14ac:dyDescent="0.35">
      <c r="A101" s="4">
        <v>98</v>
      </c>
      <c r="B101" s="17" t="s">
        <v>218</v>
      </c>
      <c r="C101" s="17" t="s">
        <v>219</v>
      </c>
      <c r="D101" s="4" t="s">
        <v>4</v>
      </c>
    </row>
    <row r="102" spans="1:4" ht="15.5" x14ac:dyDescent="0.35">
      <c r="A102" s="4">
        <v>99</v>
      </c>
      <c r="B102" s="17" t="s">
        <v>220</v>
      </c>
      <c r="C102" s="17" t="s">
        <v>221</v>
      </c>
      <c r="D102" s="4" t="s">
        <v>4</v>
      </c>
    </row>
    <row r="103" spans="1:4" ht="15.5" x14ac:dyDescent="0.35">
      <c r="A103" s="4">
        <v>100</v>
      </c>
      <c r="B103" s="17" t="s">
        <v>222</v>
      </c>
      <c r="C103" s="17" t="s">
        <v>223</v>
      </c>
      <c r="D103" s="4" t="s">
        <v>4</v>
      </c>
    </row>
    <row r="104" spans="1:4" ht="15.5" x14ac:dyDescent="0.35">
      <c r="A104" s="4">
        <v>101</v>
      </c>
      <c r="B104" s="17" t="s">
        <v>224</v>
      </c>
      <c r="C104" s="17" t="s">
        <v>225</v>
      </c>
      <c r="D104" s="4" t="s">
        <v>4</v>
      </c>
    </row>
    <row r="105" spans="1:4" ht="15.5" x14ac:dyDescent="0.35">
      <c r="A105" s="4">
        <v>102</v>
      </c>
      <c r="B105" s="17" t="s">
        <v>226</v>
      </c>
      <c r="C105" s="17" t="s">
        <v>227</v>
      </c>
      <c r="D105" s="4" t="s">
        <v>4</v>
      </c>
    </row>
    <row r="106" spans="1:4" ht="15.5" x14ac:dyDescent="0.35">
      <c r="A106" s="4">
        <v>103</v>
      </c>
      <c r="B106" s="17" t="s">
        <v>228</v>
      </c>
      <c r="C106" s="17" t="s">
        <v>229</v>
      </c>
      <c r="D106" s="4" t="s">
        <v>4</v>
      </c>
    </row>
    <row r="107" spans="1:4" ht="15.5" x14ac:dyDescent="0.35">
      <c r="A107" s="4">
        <v>104</v>
      </c>
      <c r="B107" s="17" t="s">
        <v>230</v>
      </c>
      <c r="C107" s="17" t="s">
        <v>231</v>
      </c>
      <c r="D107" s="4" t="s">
        <v>4</v>
      </c>
    </row>
    <row r="108" spans="1:4" ht="15.5" x14ac:dyDescent="0.35">
      <c r="A108" s="4">
        <v>105</v>
      </c>
      <c r="B108" s="17" t="s">
        <v>232</v>
      </c>
      <c r="C108" s="17" t="s">
        <v>233</v>
      </c>
      <c r="D108" s="4" t="s">
        <v>4</v>
      </c>
    </row>
    <row r="109" spans="1:4" x14ac:dyDescent="0.35">
      <c r="A109" s="20"/>
      <c r="B109" s="16"/>
      <c r="D109" s="2"/>
    </row>
    <row r="110" spans="1:4" x14ac:dyDescent="0.35">
      <c r="B110" s="16"/>
      <c r="D110" s="2"/>
    </row>
    <row r="111" spans="1:4" x14ac:dyDescent="0.35">
      <c r="B111" s="16"/>
      <c r="D111" s="2"/>
    </row>
    <row r="112" spans="1:4" x14ac:dyDescent="0.35">
      <c r="B112" s="16"/>
      <c r="D112" s="2"/>
    </row>
    <row r="113" spans="2:4" x14ac:dyDescent="0.35">
      <c r="B113" s="16"/>
      <c r="D113" s="2"/>
    </row>
    <row r="114" spans="2:4" x14ac:dyDescent="0.35">
      <c r="B114" s="16"/>
      <c r="D114" s="2"/>
    </row>
    <row r="115" spans="2:4" x14ac:dyDescent="0.35">
      <c r="D115" s="2"/>
    </row>
    <row r="116" spans="2:4" x14ac:dyDescent="0.35">
      <c r="D116" s="2"/>
    </row>
    <row r="117" spans="2:4" x14ac:dyDescent="0.35">
      <c r="B117" s="16"/>
      <c r="D117" s="2"/>
    </row>
    <row r="118" spans="2:4" x14ac:dyDescent="0.35">
      <c r="D118" s="2"/>
    </row>
    <row r="119" spans="2:4" x14ac:dyDescent="0.35">
      <c r="B119" s="16"/>
      <c r="D119" s="2"/>
    </row>
    <row r="120" spans="2:4" x14ac:dyDescent="0.35">
      <c r="D120" s="2"/>
    </row>
    <row r="121" spans="2:4" x14ac:dyDescent="0.35">
      <c r="B121" s="16"/>
      <c r="D121" s="2"/>
    </row>
    <row r="122" spans="2:4" x14ac:dyDescent="0.35">
      <c r="D122" s="2"/>
    </row>
    <row r="123" spans="2:4" x14ac:dyDescent="0.35">
      <c r="D123" s="2"/>
    </row>
    <row r="124" spans="2:4" x14ac:dyDescent="0.35">
      <c r="D124" s="2"/>
    </row>
    <row r="125" spans="2:4" x14ac:dyDescent="0.35">
      <c r="B125" s="16"/>
      <c r="D125" s="2"/>
    </row>
    <row r="126" spans="2:4" x14ac:dyDescent="0.35">
      <c r="D126" s="2"/>
    </row>
    <row r="127" spans="2:4" x14ac:dyDescent="0.35">
      <c r="D127" s="2"/>
    </row>
    <row r="128" spans="2:4" x14ac:dyDescent="0.35">
      <c r="D128" s="2"/>
    </row>
    <row r="129" spans="2:4" x14ac:dyDescent="0.35">
      <c r="D129" s="2"/>
    </row>
    <row r="130" spans="2:4" x14ac:dyDescent="0.35">
      <c r="D130" s="2"/>
    </row>
    <row r="131" spans="2:4" x14ac:dyDescent="0.35">
      <c r="D131" s="2"/>
    </row>
    <row r="132" spans="2:4" x14ac:dyDescent="0.35">
      <c r="D132" s="2"/>
    </row>
    <row r="133" spans="2:4" x14ac:dyDescent="0.35">
      <c r="D133" s="2"/>
    </row>
    <row r="134" spans="2:4" x14ac:dyDescent="0.35">
      <c r="D134" s="2"/>
    </row>
    <row r="135" spans="2:4" x14ac:dyDescent="0.35">
      <c r="D135" s="2"/>
    </row>
    <row r="136" spans="2:4" x14ac:dyDescent="0.35">
      <c r="B136" s="16"/>
      <c r="D136" s="2"/>
    </row>
    <row r="137" spans="2:4" x14ac:dyDescent="0.35">
      <c r="D137" s="2"/>
    </row>
    <row r="138" spans="2:4" x14ac:dyDescent="0.35">
      <c r="D138" s="2"/>
    </row>
    <row r="139" spans="2:4" x14ac:dyDescent="0.35">
      <c r="D139" s="2"/>
    </row>
    <row r="140" spans="2:4" x14ac:dyDescent="0.35">
      <c r="D140" s="2"/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2"/>
  <sheetViews>
    <sheetView workbookViewId="0">
      <selection activeCell="C5" sqref="C5"/>
    </sheetView>
  </sheetViews>
  <sheetFormatPr defaultRowHeight="14.5" x14ac:dyDescent="0.35"/>
  <cols>
    <col min="1" max="1" width="9.1796875" style="2"/>
    <col min="2" max="2" width="18.453125" customWidth="1"/>
    <col min="3" max="3" width="37.81640625" customWidth="1"/>
    <col min="4" max="4" width="6.54296875" customWidth="1"/>
    <col min="5" max="5" width="6.54296875" style="2" customWidth="1"/>
    <col min="6" max="6" width="6.7265625" style="2" customWidth="1"/>
    <col min="7" max="7" width="9.1796875" style="2"/>
  </cols>
  <sheetData>
    <row r="1" spans="1:8" ht="15" customHeight="1" x14ac:dyDescent="0.35">
      <c r="A1" s="68" t="s">
        <v>16</v>
      </c>
      <c r="B1" s="68"/>
      <c r="C1" s="68"/>
      <c r="D1" s="68"/>
      <c r="E1" s="68"/>
      <c r="F1" s="68"/>
      <c r="G1" s="68"/>
    </row>
    <row r="2" spans="1:8" ht="32.25" customHeight="1" x14ac:dyDescent="0.35">
      <c r="A2" s="68"/>
      <c r="B2" s="68"/>
      <c r="C2" s="68"/>
      <c r="D2" s="68"/>
      <c r="E2" s="68"/>
      <c r="F2" s="68"/>
      <c r="G2" s="68"/>
    </row>
    <row r="3" spans="1:8" ht="15" customHeight="1" x14ac:dyDescent="0.35">
      <c r="A3" s="74" t="s">
        <v>0</v>
      </c>
      <c r="B3" s="74" t="s">
        <v>1</v>
      </c>
      <c r="C3" s="74" t="s">
        <v>2</v>
      </c>
      <c r="D3" s="70" t="s">
        <v>6</v>
      </c>
      <c r="E3" s="71"/>
      <c r="F3" s="71"/>
      <c r="G3" s="72"/>
      <c r="H3" s="69" t="s">
        <v>5</v>
      </c>
    </row>
    <row r="4" spans="1:8" ht="15" customHeight="1" x14ac:dyDescent="0.35">
      <c r="A4" s="74"/>
      <c r="B4" s="74"/>
      <c r="C4" s="74"/>
      <c r="D4" s="5">
        <v>2019</v>
      </c>
      <c r="E4" s="5">
        <v>2020</v>
      </c>
      <c r="F4" s="5">
        <v>2021</v>
      </c>
      <c r="G4" s="21">
        <v>2022</v>
      </c>
      <c r="H4" s="69"/>
    </row>
    <row r="5" spans="1:8" ht="15.5" x14ac:dyDescent="0.35">
      <c r="A5" s="4">
        <v>1</v>
      </c>
      <c r="B5" s="17" t="s">
        <v>26</v>
      </c>
      <c r="C5" s="18" t="s">
        <v>239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</row>
    <row r="6" spans="1:8" ht="15.5" x14ac:dyDescent="0.35">
      <c r="A6" s="4">
        <v>2</v>
      </c>
      <c r="B6" s="17" t="s">
        <v>27</v>
      </c>
      <c r="C6" s="17" t="s">
        <v>28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</row>
    <row r="7" spans="1:8" ht="15.5" x14ac:dyDescent="0.35">
      <c r="A7" s="4">
        <v>3</v>
      </c>
      <c r="B7" s="17" t="s">
        <v>29</v>
      </c>
      <c r="C7" s="17" t="s">
        <v>30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</row>
    <row r="8" spans="1:8" ht="15.5" x14ac:dyDescent="0.35">
      <c r="A8" s="4">
        <v>4</v>
      </c>
      <c r="B8" s="17" t="s">
        <v>31</v>
      </c>
      <c r="C8" s="17" t="s">
        <v>32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</row>
    <row r="9" spans="1:8" ht="15.5" x14ac:dyDescent="0.35">
      <c r="A9" s="4">
        <v>5</v>
      </c>
      <c r="B9" s="17" t="s">
        <v>33</v>
      </c>
      <c r="C9" s="17" t="s">
        <v>34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5" x14ac:dyDescent="0.35">
      <c r="A10" s="4">
        <v>6</v>
      </c>
      <c r="B10" s="17" t="s">
        <v>35</v>
      </c>
      <c r="C10" s="17" t="s">
        <v>36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5" x14ac:dyDescent="0.35">
      <c r="A11" s="4">
        <v>7</v>
      </c>
      <c r="B11" s="17" t="s">
        <v>37</v>
      </c>
      <c r="C11" s="17" t="s">
        <v>38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5" x14ac:dyDescent="0.35">
      <c r="A12" s="4">
        <v>8</v>
      </c>
      <c r="B12" s="17" t="s">
        <v>39</v>
      </c>
      <c r="C12" s="17" t="s">
        <v>40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5" x14ac:dyDescent="0.35">
      <c r="A13" s="4">
        <v>9</v>
      </c>
      <c r="B13" s="17" t="s">
        <v>41</v>
      </c>
      <c r="C13" s="17" t="s">
        <v>42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5" x14ac:dyDescent="0.35">
      <c r="A14" s="4">
        <v>10</v>
      </c>
      <c r="B14" s="17" t="s">
        <v>43</v>
      </c>
      <c r="C14" s="17" t="s">
        <v>44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5" x14ac:dyDescent="0.35">
      <c r="A15" s="4">
        <v>11</v>
      </c>
      <c r="B15" s="17" t="s">
        <v>45</v>
      </c>
      <c r="C15" s="17" t="s">
        <v>235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5" x14ac:dyDescent="0.35">
      <c r="A16" s="4">
        <v>12</v>
      </c>
      <c r="B16" s="17" t="s">
        <v>46</v>
      </c>
      <c r="C16" s="17" t="s">
        <v>47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5" x14ac:dyDescent="0.35">
      <c r="A17" s="4">
        <v>13</v>
      </c>
      <c r="B17" s="17" t="s">
        <v>48</v>
      </c>
      <c r="C17" s="17" t="s">
        <v>49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5" x14ac:dyDescent="0.35">
      <c r="A18" s="4">
        <v>14</v>
      </c>
      <c r="B18" s="17" t="s">
        <v>50</v>
      </c>
      <c r="C18" s="17" t="s">
        <v>51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5" x14ac:dyDescent="0.35">
      <c r="A19" s="4">
        <v>15</v>
      </c>
      <c r="B19" s="17" t="s">
        <v>52</v>
      </c>
      <c r="C19" s="17" t="s">
        <v>53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5" x14ac:dyDescent="0.35">
      <c r="A20" s="4">
        <v>16</v>
      </c>
      <c r="B20" s="17" t="s">
        <v>54</v>
      </c>
      <c r="C20" s="17" t="s">
        <v>55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5" x14ac:dyDescent="0.35">
      <c r="A21" s="4">
        <v>17</v>
      </c>
      <c r="B21" s="17" t="s">
        <v>56</v>
      </c>
      <c r="C21" s="17" t="s">
        <v>57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5" x14ac:dyDescent="0.35">
      <c r="A22" s="4">
        <v>18</v>
      </c>
      <c r="B22" s="17" t="s">
        <v>58</v>
      </c>
      <c r="C22" s="17" t="s">
        <v>59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5" x14ac:dyDescent="0.35">
      <c r="A23" s="4">
        <v>19</v>
      </c>
      <c r="B23" s="17" t="s">
        <v>60</v>
      </c>
      <c r="C23" s="17" t="s">
        <v>61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5" x14ac:dyDescent="0.35">
      <c r="A24" s="4">
        <v>20</v>
      </c>
      <c r="B24" s="17" t="s">
        <v>62</v>
      </c>
      <c r="C24" s="17" t="s">
        <v>63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5" x14ac:dyDescent="0.35">
      <c r="A25" s="4">
        <v>21</v>
      </c>
      <c r="B25" s="17" t="s">
        <v>64</v>
      </c>
      <c r="C25" s="17" t="s">
        <v>65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5" x14ac:dyDescent="0.35">
      <c r="A26" s="4">
        <v>22</v>
      </c>
      <c r="B26" s="17" t="s">
        <v>66</v>
      </c>
      <c r="C26" s="17" t="s">
        <v>67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5" x14ac:dyDescent="0.35">
      <c r="A27" s="4">
        <v>23</v>
      </c>
      <c r="B27" s="17" t="s">
        <v>68</v>
      </c>
      <c r="C27" s="17" t="s">
        <v>69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5" x14ac:dyDescent="0.35">
      <c r="A28" s="4">
        <v>24</v>
      </c>
      <c r="B28" s="17" t="s">
        <v>70</v>
      </c>
      <c r="C28" s="17" t="s">
        <v>71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5" x14ac:dyDescent="0.35">
      <c r="A29" s="4">
        <v>25</v>
      </c>
      <c r="B29" s="17" t="s">
        <v>72</v>
      </c>
      <c r="C29" s="17" t="s">
        <v>73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5" x14ac:dyDescent="0.35">
      <c r="A30" s="4">
        <v>26</v>
      </c>
      <c r="B30" s="17" t="s">
        <v>74</v>
      </c>
      <c r="C30" s="17" t="s">
        <v>75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5" x14ac:dyDescent="0.35">
      <c r="A31" s="4">
        <v>27</v>
      </c>
      <c r="B31" s="17" t="s">
        <v>76</v>
      </c>
      <c r="C31" s="17" t="s">
        <v>77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5" x14ac:dyDescent="0.35">
      <c r="A32" s="4">
        <v>28</v>
      </c>
      <c r="B32" s="17" t="s">
        <v>78</v>
      </c>
      <c r="C32" s="17" t="s">
        <v>79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5" x14ac:dyDescent="0.35">
      <c r="A33" s="4">
        <v>29</v>
      </c>
      <c r="B33" s="17" t="s">
        <v>80</v>
      </c>
      <c r="C33" s="17" t="s">
        <v>81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5" x14ac:dyDescent="0.35">
      <c r="A34" s="4">
        <v>30</v>
      </c>
      <c r="B34" s="17" t="s">
        <v>82</v>
      </c>
      <c r="C34" s="17" t="s">
        <v>83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5" x14ac:dyDescent="0.35">
      <c r="A35" s="4">
        <v>31</v>
      </c>
      <c r="B35" s="17" t="s">
        <v>84</v>
      </c>
      <c r="C35" s="17" t="s">
        <v>85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5" x14ac:dyDescent="0.35">
      <c r="A36" s="4">
        <v>32</v>
      </c>
      <c r="B36" s="17" t="s">
        <v>86</v>
      </c>
      <c r="C36" s="17" t="s">
        <v>87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5" x14ac:dyDescent="0.35">
      <c r="A37" s="4">
        <v>33</v>
      </c>
      <c r="B37" s="17" t="s">
        <v>88</v>
      </c>
      <c r="C37" s="17" t="s">
        <v>89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5" x14ac:dyDescent="0.35">
      <c r="A38" s="4">
        <v>34</v>
      </c>
      <c r="B38" s="17" t="s">
        <v>90</v>
      </c>
      <c r="C38" s="18" t="s">
        <v>91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5" x14ac:dyDescent="0.35">
      <c r="A39" s="4">
        <v>35</v>
      </c>
      <c r="B39" s="17" t="s">
        <v>92</v>
      </c>
      <c r="C39" s="17" t="s">
        <v>93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5" x14ac:dyDescent="0.35">
      <c r="A40" s="4">
        <v>36</v>
      </c>
      <c r="B40" s="17" t="s">
        <v>94</v>
      </c>
      <c r="C40" s="17" t="s">
        <v>95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5" x14ac:dyDescent="0.35">
      <c r="A41" s="4">
        <v>37</v>
      </c>
      <c r="B41" s="17" t="s">
        <v>96</v>
      </c>
      <c r="C41" s="17" t="s">
        <v>97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 spans="1:8" ht="15.5" x14ac:dyDescent="0.35">
      <c r="A42" s="4">
        <v>38</v>
      </c>
      <c r="B42" s="17" t="s">
        <v>98</v>
      </c>
      <c r="C42" s="17" t="s">
        <v>99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5" x14ac:dyDescent="0.35">
      <c r="A43" s="4">
        <v>39</v>
      </c>
      <c r="B43" s="17" t="s">
        <v>100</v>
      </c>
      <c r="C43" s="17" t="s">
        <v>101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5" x14ac:dyDescent="0.35">
      <c r="A44" s="4">
        <v>40</v>
      </c>
      <c r="B44" s="17" t="s">
        <v>102</v>
      </c>
      <c r="C44" s="17" t="s">
        <v>103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5" x14ac:dyDescent="0.35">
      <c r="A45" s="4">
        <v>41</v>
      </c>
      <c r="B45" s="17" t="s">
        <v>104</v>
      </c>
      <c r="C45" s="17" t="s">
        <v>105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5" x14ac:dyDescent="0.35">
      <c r="A46" s="4">
        <v>42</v>
      </c>
      <c r="B46" s="17" t="s">
        <v>106</v>
      </c>
      <c r="C46" s="17" t="s">
        <v>107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5" x14ac:dyDescent="0.35">
      <c r="A47" s="4">
        <v>43</v>
      </c>
      <c r="B47" s="17" t="s">
        <v>108</v>
      </c>
      <c r="C47" s="17" t="s">
        <v>109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5" x14ac:dyDescent="0.35">
      <c r="A48" s="4">
        <v>44</v>
      </c>
      <c r="B48" s="17" t="s">
        <v>110</v>
      </c>
      <c r="C48" s="17" t="s">
        <v>111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5" x14ac:dyDescent="0.35">
      <c r="A49" s="4">
        <v>45</v>
      </c>
      <c r="B49" s="17" t="s">
        <v>112</v>
      </c>
      <c r="C49" s="17" t="s">
        <v>113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5" x14ac:dyDescent="0.35">
      <c r="A50" s="4">
        <v>46</v>
      </c>
      <c r="B50" s="17" t="s">
        <v>114</v>
      </c>
      <c r="C50" s="17" t="s">
        <v>115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5" x14ac:dyDescent="0.35">
      <c r="A51" s="4">
        <v>47</v>
      </c>
      <c r="B51" s="17" t="s">
        <v>116</v>
      </c>
      <c r="C51" s="17" t="s">
        <v>117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5" x14ac:dyDescent="0.35">
      <c r="A52" s="4">
        <v>48</v>
      </c>
      <c r="B52" s="17" t="s">
        <v>118</v>
      </c>
      <c r="C52" s="17" t="s">
        <v>119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5" x14ac:dyDescent="0.35">
      <c r="A53" s="4">
        <v>49</v>
      </c>
      <c r="B53" s="17" t="s">
        <v>120</v>
      </c>
      <c r="C53" s="17" t="s">
        <v>121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5" x14ac:dyDescent="0.35">
      <c r="A54" s="4">
        <v>50</v>
      </c>
      <c r="B54" s="17" t="s">
        <v>122</v>
      </c>
      <c r="C54" s="17" t="s">
        <v>123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 spans="1:8" ht="15.5" x14ac:dyDescent="0.35">
      <c r="A55" s="4">
        <v>51</v>
      </c>
      <c r="B55" s="17" t="s">
        <v>124</v>
      </c>
      <c r="C55" s="17" t="s">
        <v>125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 spans="1:8" ht="15.5" x14ac:dyDescent="0.35">
      <c r="A56" s="4">
        <v>52</v>
      </c>
      <c r="B56" s="17" t="s">
        <v>126</v>
      </c>
      <c r="C56" s="17" t="s">
        <v>127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5" x14ac:dyDescent="0.35">
      <c r="A57" s="4">
        <v>53</v>
      </c>
      <c r="B57" s="17" t="s">
        <v>128</v>
      </c>
      <c r="C57" s="17" t="s">
        <v>129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5" x14ac:dyDescent="0.35">
      <c r="A58" s="4">
        <v>54</v>
      </c>
      <c r="B58" s="17" t="s">
        <v>130</v>
      </c>
      <c r="C58" s="17" t="s">
        <v>131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 spans="1:8" ht="15.5" x14ac:dyDescent="0.35">
      <c r="A59" s="4">
        <v>55</v>
      </c>
      <c r="B59" s="17" t="s">
        <v>132</v>
      </c>
      <c r="C59" s="17" t="s">
        <v>133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5" x14ac:dyDescent="0.35">
      <c r="A60" s="4">
        <v>56</v>
      </c>
      <c r="B60" s="17" t="s">
        <v>134</v>
      </c>
      <c r="C60" s="17" t="s">
        <v>135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5" x14ac:dyDescent="0.35">
      <c r="A61" s="4">
        <v>57</v>
      </c>
      <c r="B61" s="17" t="s">
        <v>136</v>
      </c>
      <c r="C61" s="17" t="s">
        <v>137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 spans="1:8" ht="15.5" x14ac:dyDescent="0.35">
      <c r="A62" s="4">
        <v>58</v>
      </c>
      <c r="B62" s="17" t="s">
        <v>138</v>
      </c>
      <c r="C62" s="17" t="s">
        <v>139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5" x14ac:dyDescent="0.35">
      <c r="A63" s="4">
        <v>59</v>
      </c>
      <c r="B63" s="17" t="s">
        <v>140</v>
      </c>
      <c r="C63" s="17" t="s">
        <v>141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 spans="1:8" ht="15.5" x14ac:dyDescent="0.35">
      <c r="A64" s="4">
        <v>60</v>
      </c>
      <c r="B64" s="17" t="s">
        <v>142</v>
      </c>
      <c r="C64" s="17" t="s">
        <v>143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 spans="1:8" ht="15.5" x14ac:dyDescent="0.35">
      <c r="A65" s="4">
        <v>61</v>
      </c>
      <c r="B65" s="17" t="s">
        <v>144</v>
      </c>
      <c r="C65" s="17" t="s">
        <v>145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 spans="1:8" ht="15.5" x14ac:dyDescent="0.35">
      <c r="A66" s="4">
        <v>62</v>
      </c>
      <c r="B66" s="17" t="s">
        <v>146</v>
      </c>
      <c r="C66" s="17" t="s">
        <v>147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5" x14ac:dyDescent="0.35">
      <c r="A67" s="4">
        <v>63</v>
      </c>
      <c r="B67" s="17" t="s">
        <v>148</v>
      </c>
      <c r="C67" s="18" t="s">
        <v>149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5" x14ac:dyDescent="0.35">
      <c r="A68" s="4">
        <v>64</v>
      </c>
      <c r="B68" s="17" t="s">
        <v>150</v>
      </c>
      <c r="C68" s="17" t="s">
        <v>151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 spans="1:8" ht="15.5" x14ac:dyDescent="0.35">
      <c r="A69" s="4">
        <v>65</v>
      </c>
      <c r="B69" s="17" t="s">
        <v>152</v>
      </c>
      <c r="C69" s="17" t="s">
        <v>153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5" x14ac:dyDescent="0.35">
      <c r="A70" s="4">
        <v>66</v>
      </c>
      <c r="B70" s="17" t="s">
        <v>154</v>
      </c>
      <c r="C70" s="17" t="s">
        <v>155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5" x14ac:dyDescent="0.35">
      <c r="A71" s="4">
        <v>67</v>
      </c>
      <c r="B71" s="17" t="s">
        <v>156</v>
      </c>
      <c r="C71" s="17" t="s">
        <v>157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5" x14ac:dyDescent="0.35">
      <c r="A72" s="4">
        <v>68</v>
      </c>
      <c r="B72" s="17" t="s">
        <v>158</v>
      </c>
      <c r="C72" s="17" t="s">
        <v>159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 spans="1:8" ht="15.5" x14ac:dyDescent="0.35">
      <c r="A73" s="4">
        <v>69</v>
      </c>
      <c r="B73" s="17" t="s">
        <v>160</v>
      </c>
      <c r="C73" s="17" t="s">
        <v>161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 spans="1:8" ht="15.5" x14ac:dyDescent="0.35">
      <c r="A74" s="4">
        <v>70</v>
      </c>
      <c r="B74" s="17" t="s">
        <v>162</v>
      </c>
      <c r="C74" s="17" t="s">
        <v>163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 spans="1:8" ht="15.5" x14ac:dyDescent="0.35">
      <c r="A75" s="4">
        <v>71</v>
      </c>
      <c r="B75" s="17" t="s">
        <v>164</v>
      </c>
      <c r="C75" s="17" t="s">
        <v>165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 spans="1:8" ht="15.5" x14ac:dyDescent="0.35">
      <c r="A76" s="4">
        <v>72</v>
      </c>
      <c r="B76" s="17" t="s">
        <v>166</v>
      </c>
      <c r="C76" s="17" t="s">
        <v>167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 spans="1:8" ht="15.5" x14ac:dyDescent="0.35">
      <c r="A77" s="4">
        <v>73</v>
      </c>
      <c r="B77" s="17" t="s">
        <v>168</v>
      </c>
      <c r="C77" s="17" t="s">
        <v>169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 spans="1:8" ht="15.5" x14ac:dyDescent="0.35">
      <c r="A78" s="4">
        <v>74</v>
      </c>
      <c r="B78" s="17" t="s">
        <v>170</v>
      </c>
      <c r="C78" s="17" t="s">
        <v>171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 spans="1:8" ht="15.5" x14ac:dyDescent="0.35">
      <c r="A79" s="4">
        <v>75</v>
      </c>
      <c r="B79" s="17" t="s">
        <v>172</v>
      </c>
      <c r="C79" s="17" t="s">
        <v>173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 spans="1:8" ht="15.5" x14ac:dyDescent="0.35">
      <c r="A80" s="4">
        <v>76</v>
      </c>
      <c r="B80" s="17" t="s">
        <v>174</v>
      </c>
      <c r="C80" s="17" t="s">
        <v>175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 spans="1:8" ht="15.5" x14ac:dyDescent="0.35">
      <c r="A81" s="4">
        <v>77</v>
      </c>
      <c r="B81" s="17" t="s">
        <v>176</v>
      </c>
      <c r="C81" s="17" t="s">
        <v>177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 spans="1:8" ht="15.5" x14ac:dyDescent="0.35">
      <c r="A82" s="4">
        <v>78</v>
      </c>
      <c r="B82" s="17" t="s">
        <v>178</v>
      </c>
      <c r="C82" s="17" t="s">
        <v>179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 spans="1:8" ht="15.5" x14ac:dyDescent="0.35">
      <c r="A83" s="4">
        <v>79</v>
      </c>
      <c r="B83" s="17" t="s">
        <v>180</v>
      </c>
      <c r="C83" s="17" t="s">
        <v>181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 spans="1:8" ht="15.5" x14ac:dyDescent="0.35">
      <c r="A84" s="4">
        <v>80</v>
      </c>
      <c r="B84" s="17" t="s">
        <v>182</v>
      </c>
      <c r="C84" s="17" t="s">
        <v>183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 spans="1:8" ht="15.5" x14ac:dyDescent="0.35">
      <c r="A85" s="4">
        <v>81</v>
      </c>
      <c r="B85" s="17" t="s">
        <v>184</v>
      </c>
      <c r="C85" s="17" t="s">
        <v>185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 spans="1:8" ht="15.5" x14ac:dyDescent="0.35">
      <c r="A86" s="4">
        <v>82</v>
      </c>
      <c r="B86" s="17" t="s">
        <v>186</v>
      </c>
      <c r="C86" s="17" t="s">
        <v>187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 spans="1:8" ht="15.5" x14ac:dyDescent="0.35">
      <c r="A87" s="4">
        <v>83</v>
      </c>
      <c r="B87" s="17" t="s">
        <v>188</v>
      </c>
      <c r="C87" s="17" t="s">
        <v>189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 spans="1:8" ht="15.5" x14ac:dyDescent="0.35">
      <c r="A88" s="4">
        <v>84</v>
      </c>
      <c r="B88" s="17" t="s">
        <v>190</v>
      </c>
      <c r="C88" s="17" t="s">
        <v>191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 spans="1:8" ht="15.5" x14ac:dyDescent="0.35">
      <c r="A89" s="4">
        <v>85</v>
      </c>
      <c r="B89" s="17" t="s">
        <v>192</v>
      </c>
      <c r="C89" s="17" t="s">
        <v>193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 spans="1:8" ht="15.5" x14ac:dyDescent="0.35">
      <c r="A90" s="4">
        <v>86</v>
      </c>
      <c r="B90" s="17" t="s">
        <v>194</v>
      </c>
      <c r="C90" s="17" t="s">
        <v>195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 spans="1:8" ht="15.5" x14ac:dyDescent="0.35">
      <c r="A91" s="4">
        <v>87</v>
      </c>
      <c r="B91" s="17" t="s">
        <v>196</v>
      </c>
      <c r="C91" s="17" t="s">
        <v>197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 spans="1:8" ht="15.5" x14ac:dyDescent="0.35">
      <c r="A92" s="4">
        <v>88</v>
      </c>
      <c r="B92" s="17" t="s">
        <v>198</v>
      </c>
      <c r="C92" s="17" t="s">
        <v>199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 spans="1:8" ht="15.5" x14ac:dyDescent="0.35">
      <c r="A93" s="4">
        <v>89</v>
      </c>
      <c r="B93" s="17" t="s">
        <v>200</v>
      </c>
      <c r="C93" s="17" t="s">
        <v>201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 spans="1:8" ht="15.5" x14ac:dyDescent="0.35">
      <c r="A94" s="4">
        <v>90</v>
      </c>
      <c r="B94" s="17" t="s">
        <v>202</v>
      </c>
      <c r="C94" s="17" t="s">
        <v>203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 spans="1:8" ht="15.5" x14ac:dyDescent="0.35">
      <c r="A95" s="4">
        <v>91</v>
      </c>
      <c r="B95" s="17" t="s">
        <v>204</v>
      </c>
      <c r="C95" s="17" t="s">
        <v>205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 spans="1:8" ht="15.5" x14ac:dyDescent="0.35">
      <c r="A96" s="4">
        <v>92</v>
      </c>
      <c r="B96" s="17" t="s">
        <v>206</v>
      </c>
      <c r="C96" s="17" t="s">
        <v>207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 spans="1:8" ht="15.5" x14ac:dyDescent="0.35">
      <c r="A97" s="4">
        <v>93</v>
      </c>
      <c r="B97" s="17" t="s">
        <v>208</v>
      </c>
      <c r="C97" s="17" t="s">
        <v>209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 spans="1:8" ht="15.5" x14ac:dyDescent="0.35">
      <c r="A98" s="4">
        <v>94</v>
      </c>
      <c r="B98" s="17" t="s">
        <v>210</v>
      </c>
      <c r="C98" s="17" t="s">
        <v>211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 spans="1:8" ht="15.5" x14ac:dyDescent="0.35">
      <c r="A99" s="4">
        <v>95</v>
      </c>
      <c r="B99" s="17" t="s">
        <v>212</v>
      </c>
      <c r="C99" s="17" t="s">
        <v>213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 spans="1:8" ht="15.5" x14ac:dyDescent="0.35">
      <c r="A100" s="4">
        <v>96</v>
      </c>
      <c r="B100" s="17" t="s">
        <v>214</v>
      </c>
      <c r="C100" s="17" t="s">
        <v>215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 spans="1:8" ht="15.5" x14ac:dyDescent="0.35">
      <c r="A101" s="4">
        <v>97</v>
      </c>
      <c r="B101" s="17" t="s">
        <v>216</v>
      </c>
      <c r="C101" s="17" t="s">
        <v>217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 spans="1:8" ht="15.5" x14ac:dyDescent="0.35">
      <c r="A102" s="4">
        <v>98</v>
      </c>
      <c r="B102" s="17" t="s">
        <v>218</v>
      </c>
      <c r="C102" s="17" t="s">
        <v>219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 spans="1:8" ht="15.5" x14ac:dyDescent="0.35">
      <c r="A103" s="4">
        <v>99</v>
      </c>
      <c r="B103" s="17" t="s">
        <v>220</v>
      </c>
      <c r="C103" s="17" t="s">
        <v>221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 spans="1:8" ht="15.5" x14ac:dyDescent="0.35">
      <c r="A104" s="4">
        <v>100</v>
      </c>
      <c r="B104" s="17" t="s">
        <v>222</v>
      </c>
      <c r="C104" s="17" t="s">
        <v>223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 spans="1:8" ht="15.5" x14ac:dyDescent="0.35">
      <c r="A105" s="4">
        <v>101</v>
      </c>
      <c r="B105" s="17" t="s">
        <v>224</v>
      </c>
      <c r="C105" s="17" t="s">
        <v>225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</row>
    <row r="106" spans="1:8" ht="15.5" x14ac:dyDescent="0.35">
      <c r="A106" s="4">
        <v>102</v>
      </c>
      <c r="B106" s="17" t="s">
        <v>226</v>
      </c>
      <c r="C106" s="17" t="s">
        <v>227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 spans="1:8" ht="15.5" x14ac:dyDescent="0.35">
      <c r="A107" s="4">
        <v>103</v>
      </c>
      <c r="B107" s="17" t="s">
        <v>228</v>
      </c>
      <c r="C107" s="17" t="s">
        <v>229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 spans="1:8" ht="15.5" x14ac:dyDescent="0.35">
      <c r="A108" s="4">
        <v>104</v>
      </c>
      <c r="B108" s="17" t="s">
        <v>230</v>
      </c>
      <c r="C108" s="17" t="s">
        <v>231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</row>
    <row r="109" spans="1:8" ht="15.5" x14ac:dyDescent="0.35">
      <c r="A109" s="4">
        <v>105</v>
      </c>
      <c r="B109" s="17" t="s">
        <v>232</v>
      </c>
      <c r="C109" s="17" t="s">
        <v>233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</row>
    <row r="110" spans="1:8" x14ac:dyDescent="0.35">
      <c r="A110" s="25"/>
      <c r="B110" s="16"/>
      <c r="C110" s="16"/>
      <c r="D110" s="25"/>
      <c r="E110" s="25"/>
      <c r="F110" s="25"/>
      <c r="G110" s="25"/>
      <c r="H110" s="25"/>
    </row>
    <row r="111" spans="1:8" x14ac:dyDescent="0.35">
      <c r="A111" s="25"/>
      <c r="B111" s="16"/>
      <c r="C111" s="16"/>
      <c r="D111" s="25"/>
      <c r="E111" s="25"/>
      <c r="F111" s="25"/>
      <c r="G111" s="25"/>
      <c r="H111" s="25"/>
    </row>
    <row r="112" spans="1:8" x14ac:dyDescent="0.35">
      <c r="A112" s="25"/>
      <c r="B112" s="16"/>
      <c r="C112" s="16"/>
      <c r="D112" s="25"/>
      <c r="E112" s="25"/>
      <c r="F112" s="25"/>
      <c r="G112" s="25"/>
      <c r="H112" s="25"/>
    </row>
    <row r="113" spans="1:8" x14ac:dyDescent="0.35">
      <c r="A113" s="25"/>
      <c r="B113" s="16"/>
      <c r="C113" s="16"/>
      <c r="D113" s="25"/>
      <c r="E113" s="25"/>
      <c r="F113" s="25"/>
      <c r="G113" s="25"/>
      <c r="H113" s="25"/>
    </row>
    <row r="114" spans="1:8" x14ac:dyDescent="0.35">
      <c r="A114" s="25"/>
      <c r="B114" s="16"/>
      <c r="C114" s="16"/>
      <c r="D114" s="25"/>
      <c r="E114" s="25"/>
      <c r="F114" s="25"/>
      <c r="G114" s="25"/>
      <c r="H114" s="25"/>
    </row>
    <row r="115" spans="1:8" x14ac:dyDescent="0.35">
      <c r="A115" s="25"/>
      <c r="B115" s="16"/>
      <c r="C115" s="16"/>
      <c r="D115" s="25"/>
      <c r="E115" s="25"/>
      <c r="F115" s="25"/>
      <c r="G115" s="25"/>
      <c r="H115" s="25"/>
    </row>
    <row r="116" spans="1:8" x14ac:dyDescent="0.35">
      <c r="A116" s="25"/>
      <c r="B116" s="16"/>
      <c r="C116" s="16"/>
      <c r="D116" s="25"/>
      <c r="E116" s="25"/>
      <c r="F116" s="25"/>
      <c r="G116" s="25"/>
      <c r="H116" s="25"/>
    </row>
    <row r="117" spans="1:8" x14ac:dyDescent="0.35">
      <c r="A117" s="25"/>
      <c r="B117" s="16"/>
      <c r="C117" s="16"/>
      <c r="D117" s="25"/>
      <c r="E117" s="25"/>
      <c r="F117" s="25"/>
      <c r="G117" s="25"/>
      <c r="H117" s="25"/>
    </row>
    <row r="118" spans="1:8" x14ac:dyDescent="0.35">
      <c r="A118" s="25"/>
      <c r="B118" s="16"/>
      <c r="C118" s="16"/>
      <c r="D118" s="25"/>
      <c r="E118" s="25"/>
      <c r="F118" s="25"/>
      <c r="G118" s="25"/>
      <c r="H118" s="25"/>
    </row>
    <row r="119" spans="1:8" x14ac:dyDescent="0.35">
      <c r="A119" s="25"/>
      <c r="B119" s="16"/>
      <c r="C119" s="16"/>
      <c r="D119" s="25"/>
      <c r="E119" s="25"/>
      <c r="F119" s="25"/>
      <c r="G119" s="25"/>
      <c r="H119" s="25"/>
    </row>
    <row r="120" spans="1:8" x14ac:dyDescent="0.35">
      <c r="A120" s="25"/>
      <c r="B120" s="16"/>
      <c r="C120" s="16"/>
      <c r="D120" s="25"/>
      <c r="E120" s="25"/>
      <c r="F120" s="25"/>
      <c r="G120" s="25"/>
      <c r="H120" s="25"/>
    </row>
    <row r="121" spans="1:8" x14ac:dyDescent="0.35">
      <c r="A121" s="25"/>
      <c r="B121" s="16"/>
      <c r="C121" s="16"/>
      <c r="D121" s="25"/>
      <c r="E121" s="25"/>
      <c r="F121" s="25"/>
      <c r="G121" s="25"/>
      <c r="H121" s="25"/>
    </row>
    <row r="122" spans="1:8" x14ac:dyDescent="0.35">
      <c r="A122" s="25"/>
      <c r="B122" s="16"/>
      <c r="C122" s="16"/>
      <c r="D122" s="25"/>
      <c r="E122" s="25"/>
      <c r="F122" s="25"/>
      <c r="G122" s="25"/>
      <c r="H122" s="25"/>
    </row>
    <row r="123" spans="1:8" x14ac:dyDescent="0.35">
      <c r="A123" s="25"/>
      <c r="B123" s="16"/>
      <c r="C123" s="16"/>
      <c r="D123" s="25"/>
      <c r="E123" s="25"/>
      <c r="F123" s="25"/>
      <c r="G123" s="25"/>
      <c r="H123" s="25"/>
    </row>
    <row r="124" spans="1:8" x14ac:dyDescent="0.35">
      <c r="A124" s="25"/>
      <c r="B124" s="16"/>
      <c r="C124" s="16"/>
      <c r="D124" s="25"/>
      <c r="E124" s="25"/>
      <c r="F124" s="25"/>
      <c r="G124" s="25"/>
      <c r="H124" s="25"/>
    </row>
    <row r="125" spans="1:8" x14ac:dyDescent="0.35">
      <c r="A125" s="25"/>
      <c r="B125" s="16"/>
      <c r="C125" s="16"/>
      <c r="D125" s="25"/>
      <c r="E125" s="25"/>
      <c r="F125" s="25"/>
      <c r="G125" s="25"/>
      <c r="H125" s="25"/>
    </row>
    <row r="126" spans="1:8" x14ac:dyDescent="0.35">
      <c r="A126" s="25"/>
      <c r="B126" s="16"/>
      <c r="C126" s="16"/>
      <c r="D126" s="25"/>
      <c r="E126" s="25"/>
      <c r="F126" s="25"/>
      <c r="G126" s="25"/>
      <c r="H126" s="25"/>
    </row>
    <row r="127" spans="1:8" x14ac:dyDescent="0.35">
      <c r="A127" s="25"/>
      <c r="B127" s="16"/>
      <c r="C127" s="16"/>
      <c r="D127" s="25"/>
      <c r="E127" s="25"/>
      <c r="F127" s="25"/>
      <c r="G127" s="25"/>
      <c r="H127" s="25"/>
    </row>
    <row r="128" spans="1:8" x14ac:dyDescent="0.35">
      <c r="A128" s="25"/>
      <c r="B128" s="16"/>
      <c r="C128" s="16"/>
      <c r="D128" s="25"/>
      <c r="E128" s="25"/>
      <c r="F128" s="25"/>
      <c r="G128" s="25"/>
      <c r="H128" s="25"/>
    </row>
    <row r="129" spans="1:8" x14ac:dyDescent="0.35">
      <c r="A129" s="25"/>
      <c r="B129" s="16"/>
      <c r="C129" s="16"/>
      <c r="D129" s="25"/>
      <c r="E129" s="25"/>
      <c r="F129" s="25"/>
      <c r="G129" s="25"/>
      <c r="H129" s="25"/>
    </row>
    <row r="130" spans="1:8" x14ac:dyDescent="0.35">
      <c r="A130" s="25"/>
      <c r="B130" s="16"/>
      <c r="C130" s="16"/>
      <c r="D130" s="25"/>
      <c r="E130" s="25"/>
      <c r="F130" s="25"/>
      <c r="G130" s="25"/>
      <c r="H130" s="25"/>
    </row>
    <row r="131" spans="1:8" x14ac:dyDescent="0.35">
      <c r="A131" s="25"/>
      <c r="B131" s="16"/>
      <c r="C131" s="16"/>
      <c r="D131" s="25"/>
      <c r="E131" s="25"/>
      <c r="F131" s="25"/>
      <c r="G131" s="25"/>
      <c r="H131" s="25"/>
    </row>
    <row r="132" spans="1:8" x14ac:dyDescent="0.35">
      <c r="A132" s="25"/>
      <c r="B132" s="16"/>
      <c r="C132" s="16"/>
      <c r="D132" s="25"/>
      <c r="E132" s="25"/>
      <c r="F132" s="25"/>
      <c r="G132" s="25"/>
      <c r="H132" s="25"/>
    </row>
    <row r="133" spans="1:8" x14ac:dyDescent="0.35">
      <c r="A133" s="25"/>
      <c r="B133" s="16"/>
      <c r="C133" s="16"/>
      <c r="D133" s="25"/>
      <c r="E133" s="25"/>
      <c r="F133" s="25"/>
      <c r="G133" s="25"/>
      <c r="H133" s="25"/>
    </row>
    <row r="134" spans="1:8" x14ac:dyDescent="0.35">
      <c r="A134" s="25"/>
      <c r="B134" s="16"/>
      <c r="C134" s="16"/>
      <c r="D134" s="25"/>
      <c r="E134" s="25"/>
      <c r="F134" s="25"/>
      <c r="G134" s="25"/>
      <c r="H134" s="25"/>
    </row>
    <row r="135" spans="1:8" x14ac:dyDescent="0.35">
      <c r="A135" s="25"/>
      <c r="B135" s="16"/>
      <c r="C135" s="16"/>
      <c r="D135" s="25"/>
      <c r="E135" s="25"/>
      <c r="F135" s="25"/>
      <c r="G135" s="25"/>
      <c r="H135" s="25"/>
    </row>
    <row r="136" spans="1:8" x14ac:dyDescent="0.35">
      <c r="A136" s="25"/>
      <c r="B136" s="16"/>
      <c r="C136" s="16"/>
      <c r="D136" s="25"/>
      <c r="E136" s="25"/>
      <c r="F136" s="25"/>
      <c r="G136" s="25"/>
      <c r="H136" s="25"/>
    </row>
    <row r="137" spans="1:8" x14ac:dyDescent="0.35">
      <c r="A137" s="25"/>
      <c r="B137" s="16"/>
      <c r="C137" s="16"/>
      <c r="D137" s="25"/>
      <c r="E137" s="25"/>
      <c r="F137" s="25"/>
      <c r="G137" s="25"/>
      <c r="H137" s="25"/>
    </row>
    <row r="138" spans="1:8" x14ac:dyDescent="0.35">
      <c r="A138" s="25"/>
      <c r="B138" s="16"/>
      <c r="C138" s="16"/>
      <c r="D138" s="25"/>
      <c r="E138" s="25"/>
      <c r="F138" s="25"/>
      <c r="G138" s="25"/>
      <c r="H138" s="25"/>
    </row>
    <row r="139" spans="1:8" x14ac:dyDescent="0.35">
      <c r="A139" s="25"/>
      <c r="B139" s="16"/>
      <c r="C139" s="16"/>
      <c r="D139" s="25"/>
      <c r="E139" s="25"/>
      <c r="F139" s="25"/>
      <c r="G139" s="25"/>
      <c r="H139" s="25"/>
    </row>
    <row r="140" spans="1:8" x14ac:dyDescent="0.35">
      <c r="A140" s="25"/>
      <c r="B140" s="16"/>
      <c r="C140" s="16"/>
      <c r="D140" s="25"/>
      <c r="E140" s="25"/>
      <c r="F140" s="25"/>
      <c r="G140" s="25"/>
      <c r="H140" s="25"/>
    </row>
    <row r="141" spans="1:8" x14ac:dyDescent="0.35">
      <c r="A141" s="25"/>
      <c r="B141" s="16"/>
      <c r="C141" s="16"/>
      <c r="D141" s="25"/>
      <c r="E141" s="25"/>
      <c r="F141" s="25"/>
      <c r="G141" s="25"/>
      <c r="H141" s="25"/>
    </row>
    <row r="142" spans="1:8" x14ac:dyDescent="0.35">
      <c r="A142" s="73"/>
      <c r="B142" s="73"/>
      <c r="C142" s="73"/>
      <c r="D142" s="73"/>
      <c r="E142" s="73"/>
      <c r="F142" s="73"/>
      <c r="G142" s="25"/>
      <c r="H142" s="26"/>
    </row>
  </sheetData>
  <mergeCells count="7">
    <mergeCell ref="H3:H4"/>
    <mergeCell ref="D3:G3"/>
    <mergeCell ref="A142:F142"/>
    <mergeCell ref="A1:G2"/>
    <mergeCell ref="A3:A4"/>
    <mergeCell ref="B3:B4"/>
    <mergeCell ref="C3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4"/>
  <sheetViews>
    <sheetView workbookViewId="0">
      <selection activeCell="C4" sqref="C4"/>
    </sheetView>
  </sheetViews>
  <sheetFormatPr defaultRowHeight="14.5" x14ac:dyDescent="0.35"/>
  <cols>
    <col min="1" max="1" width="9.1796875" style="2"/>
    <col min="2" max="2" width="18.453125" customWidth="1"/>
    <col min="3" max="3" width="37.81640625" customWidth="1"/>
    <col min="4" max="4" width="13.54296875" customWidth="1"/>
  </cols>
  <sheetData>
    <row r="1" spans="1:4" ht="15" customHeight="1" x14ac:dyDescent="0.35">
      <c r="A1" s="68" t="s">
        <v>8</v>
      </c>
      <c r="B1" s="68"/>
      <c r="C1" s="68"/>
      <c r="D1" s="68"/>
    </row>
    <row r="2" spans="1:4" ht="21" customHeight="1" x14ac:dyDescent="0.35">
      <c r="A2" s="68"/>
      <c r="B2" s="68"/>
      <c r="C2" s="68"/>
      <c r="D2" s="68"/>
    </row>
    <row r="3" spans="1:4" ht="15" customHeight="1" x14ac:dyDescent="0.35">
      <c r="A3" s="3" t="s">
        <v>0</v>
      </c>
      <c r="B3" s="3" t="s">
        <v>1</v>
      </c>
      <c r="C3" s="3" t="s">
        <v>2</v>
      </c>
      <c r="D3" s="3" t="s">
        <v>9</v>
      </c>
    </row>
    <row r="4" spans="1:4" ht="15.5" x14ac:dyDescent="0.35">
      <c r="A4" s="4">
        <v>1</v>
      </c>
      <c r="B4" s="17" t="s">
        <v>26</v>
      </c>
      <c r="C4" s="18" t="s">
        <v>239</v>
      </c>
      <c r="D4" s="4" t="s">
        <v>4</v>
      </c>
    </row>
    <row r="5" spans="1:4" ht="15.5" x14ac:dyDescent="0.35">
      <c r="A5" s="4">
        <v>2</v>
      </c>
      <c r="B5" s="17" t="s">
        <v>27</v>
      </c>
      <c r="C5" s="17" t="s">
        <v>28</v>
      </c>
      <c r="D5" s="4" t="s">
        <v>4</v>
      </c>
    </row>
    <row r="6" spans="1:4" ht="15.5" x14ac:dyDescent="0.35">
      <c r="A6" s="4">
        <v>3</v>
      </c>
      <c r="B6" s="17" t="s">
        <v>29</v>
      </c>
      <c r="C6" s="17" t="s">
        <v>30</v>
      </c>
      <c r="D6" s="4" t="s">
        <v>4</v>
      </c>
    </row>
    <row r="7" spans="1:4" ht="15.5" x14ac:dyDescent="0.35">
      <c r="A7" s="4">
        <v>4</v>
      </c>
      <c r="B7" s="17" t="s">
        <v>31</v>
      </c>
      <c r="C7" s="17" t="s">
        <v>32</v>
      </c>
      <c r="D7" s="4" t="s">
        <v>4</v>
      </c>
    </row>
    <row r="8" spans="1:4" ht="15.5" x14ac:dyDescent="0.35">
      <c r="A8" s="4">
        <v>5</v>
      </c>
      <c r="B8" s="17" t="s">
        <v>33</v>
      </c>
      <c r="C8" s="17" t="s">
        <v>34</v>
      </c>
      <c r="D8" s="4" t="s">
        <v>4</v>
      </c>
    </row>
    <row r="9" spans="1:4" ht="15.5" x14ac:dyDescent="0.35">
      <c r="A9" s="4">
        <v>6</v>
      </c>
      <c r="B9" s="17" t="s">
        <v>35</v>
      </c>
      <c r="C9" s="17" t="s">
        <v>36</v>
      </c>
      <c r="D9" s="4" t="s">
        <v>4</v>
      </c>
    </row>
    <row r="10" spans="1:4" ht="15.5" x14ac:dyDescent="0.35">
      <c r="A10" s="4">
        <v>7</v>
      </c>
      <c r="B10" s="17" t="s">
        <v>37</v>
      </c>
      <c r="C10" s="17" t="s">
        <v>38</v>
      </c>
      <c r="D10" s="4" t="s">
        <v>4</v>
      </c>
    </row>
    <row r="11" spans="1:4" ht="15.5" x14ac:dyDescent="0.35">
      <c r="A11" s="4">
        <v>8</v>
      </c>
      <c r="B11" s="17" t="s">
        <v>39</v>
      </c>
      <c r="C11" s="17" t="s">
        <v>40</v>
      </c>
      <c r="D11" s="4" t="s">
        <v>4</v>
      </c>
    </row>
    <row r="12" spans="1:4" ht="15.5" x14ac:dyDescent="0.35">
      <c r="A12" s="4">
        <v>9</v>
      </c>
      <c r="B12" s="17" t="s">
        <v>41</v>
      </c>
      <c r="C12" s="17" t="s">
        <v>42</v>
      </c>
      <c r="D12" s="4" t="s">
        <v>4</v>
      </c>
    </row>
    <row r="13" spans="1:4" ht="15.5" x14ac:dyDescent="0.35">
      <c r="A13" s="4">
        <v>10</v>
      </c>
      <c r="B13" s="17" t="s">
        <v>43</v>
      </c>
      <c r="C13" s="17" t="s">
        <v>44</v>
      </c>
      <c r="D13" s="4" t="s">
        <v>4</v>
      </c>
    </row>
    <row r="14" spans="1:4" ht="15.5" x14ac:dyDescent="0.35">
      <c r="A14" s="4">
        <v>11</v>
      </c>
      <c r="B14" s="17" t="s">
        <v>45</v>
      </c>
      <c r="C14" s="17" t="s">
        <v>235</v>
      </c>
      <c r="D14" s="4" t="s">
        <v>4</v>
      </c>
    </row>
    <row r="15" spans="1:4" ht="15.5" x14ac:dyDescent="0.35">
      <c r="A15" s="4">
        <v>12</v>
      </c>
      <c r="B15" s="17" t="s">
        <v>46</v>
      </c>
      <c r="C15" s="17" t="s">
        <v>47</v>
      </c>
      <c r="D15" s="4" t="s">
        <v>4</v>
      </c>
    </row>
    <row r="16" spans="1:4" ht="15.5" x14ac:dyDescent="0.35">
      <c r="A16" s="4">
        <v>13</v>
      </c>
      <c r="B16" s="17" t="s">
        <v>48</v>
      </c>
      <c r="C16" s="17" t="s">
        <v>49</v>
      </c>
      <c r="D16" s="4" t="s">
        <v>4</v>
      </c>
    </row>
    <row r="17" spans="1:4" ht="15.5" x14ac:dyDescent="0.35">
      <c r="A17" s="4">
        <v>14</v>
      </c>
      <c r="B17" s="17" t="s">
        <v>50</v>
      </c>
      <c r="C17" s="17" t="s">
        <v>237</v>
      </c>
      <c r="D17" s="4" t="s">
        <v>4</v>
      </c>
    </row>
    <row r="18" spans="1:4" ht="15.5" x14ac:dyDescent="0.35">
      <c r="A18" s="4">
        <v>15</v>
      </c>
      <c r="B18" s="17" t="s">
        <v>52</v>
      </c>
      <c r="C18" s="17" t="s">
        <v>53</v>
      </c>
      <c r="D18" s="4" t="s">
        <v>4</v>
      </c>
    </row>
    <row r="19" spans="1:4" ht="15.5" x14ac:dyDescent="0.35">
      <c r="A19" s="4">
        <v>16</v>
      </c>
      <c r="B19" s="17" t="s">
        <v>54</v>
      </c>
      <c r="C19" s="17" t="s">
        <v>238</v>
      </c>
      <c r="D19" s="4" t="s">
        <v>4</v>
      </c>
    </row>
    <row r="20" spans="1:4" ht="15.5" x14ac:dyDescent="0.35">
      <c r="A20" s="4">
        <v>17</v>
      </c>
      <c r="B20" s="17" t="s">
        <v>56</v>
      </c>
      <c r="C20" s="17" t="s">
        <v>57</v>
      </c>
      <c r="D20" s="4" t="s">
        <v>4</v>
      </c>
    </row>
    <row r="21" spans="1:4" ht="15.5" x14ac:dyDescent="0.35">
      <c r="A21" s="4">
        <v>18</v>
      </c>
      <c r="B21" s="17" t="s">
        <v>58</v>
      </c>
      <c r="C21" s="17" t="s">
        <v>59</v>
      </c>
      <c r="D21" s="4" t="s">
        <v>4</v>
      </c>
    </row>
    <row r="22" spans="1:4" ht="15.5" x14ac:dyDescent="0.35">
      <c r="A22" s="4">
        <v>19</v>
      </c>
      <c r="B22" s="17" t="s">
        <v>60</v>
      </c>
      <c r="C22" s="17" t="s">
        <v>61</v>
      </c>
      <c r="D22" s="4" t="s">
        <v>4</v>
      </c>
    </row>
    <row r="23" spans="1:4" ht="15.5" x14ac:dyDescent="0.35">
      <c r="A23" s="4">
        <v>20</v>
      </c>
      <c r="B23" s="17" t="s">
        <v>62</v>
      </c>
      <c r="C23" s="17" t="s">
        <v>63</v>
      </c>
      <c r="D23" s="4" t="s">
        <v>4</v>
      </c>
    </row>
    <row r="24" spans="1:4" ht="15.5" x14ac:dyDescent="0.35">
      <c r="A24" s="4">
        <v>21</v>
      </c>
      <c r="B24" s="17" t="s">
        <v>64</v>
      </c>
      <c r="C24" s="17" t="s">
        <v>65</v>
      </c>
      <c r="D24" s="4" t="s">
        <v>4</v>
      </c>
    </row>
    <row r="25" spans="1:4" ht="15.5" x14ac:dyDescent="0.35">
      <c r="A25" s="4">
        <v>22</v>
      </c>
      <c r="B25" s="17" t="s">
        <v>66</v>
      </c>
      <c r="C25" s="17" t="s">
        <v>67</v>
      </c>
      <c r="D25" s="4" t="s">
        <v>4</v>
      </c>
    </row>
    <row r="26" spans="1:4" ht="15.5" x14ac:dyDescent="0.35">
      <c r="A26" s="4">
        <v>23</v>
      </c>
      <c r="B26" s="17" t="s">
        <v>68</v>
      </c>
      <c r="C26" s="17" t="s">
        <v>69</v>
      </c>
      <c r="D26" s="4" t="s">
        <v>4</v>
      </c>
    </row>
    <row r="27" spans="1:4" ht="15.5" x14ac:dyDescent="0.35">
      <c r="A27" s="4">
        <v>24</v>
      </c>
      <c r="B27" s="17" t="s">
        <v>70</v>
      </c>
      <c r="C27" s="17" t="s">
        <v>71</v>
      </c>
      <c r="D27" s="4" t="s">
        <v>4</v>
      </c>
    </row>
    <row r="28" spans="1:4" ht="15.5" x14ac:dyDescent="0.35">
      <c r="A28" s="4">
        <v>25</v>
      </c>
      <c r="B28" s="17" t="s">
        <v>72</v>
      </c>
      <c r="C28" s="17" t="s">
        <v>73</v>
      </c>
      <c r="D28" s="4" t="s">
        <v>4</v>
      </c>
    </row>
    <row r="29" spans="1:4" ht="15.5" x14ac:dyDescent="0.35">
      <c r="A29" s="4">
        <v>26</v>
      </c>
      <c r="B29" s="17" t="s">
        <v>74</v>
      </c>
      <c r="C29" s="17" t="s">
        <v>75</v>
      </c>
      <c r="D29" s="4" t="s">
        <v>4</v>
      </c>
    </row>
    <row r="30" spans="1:4" ht="15.5" x14ac:dyDescent="0.35">
      <c r="A30" s="4">
        <v>27</v>
      </c>
      <c r="B30" s="17" t="s">
        <v>76</v>
      </c>
      <c r="C30" s="17" t="s">
        <v>77</v>
      </c>
      <c r="D30" s="4" t="s">
        <v>4</v>
      </c>
    </row>
    <row r="31" spans="1:4" ht="15.5" x14ac:dyDescent="0.35">
      <c r="A31" s="4">
        <v>28</v>
      </c>
      <c r="B31" s="17" t="s">
        <v>78</v>
      </c>
      <c r="C31" s="17" t="s">
        <v>79</v>
      </c>
      <c r="D31" s="4" t="s">
        <v>4</v>
      </c>
    </row>
    <row r="32" spans="1:4" ht="15.5" x14ac:dyDescent="0.35">
      <c r="A32" s="4">
        <v>29</v>
      </c>
      <c r="B32" s="17" t="s">
        <v>80</v>
      </c>
      <c r="C32" s="17" t="s">
        <v>81</v>
      </c>
      <c r="D32" s="4" t="s">
        <v>4</v>
      </c>
    </row>
    <row r="33" spans="1:4" ht="15.5" x14ac:dyDescent="0.35">
      <c r="A33" s="4">
        <v>30</v>
      </c>
      <c r="B33" s="17" t="s">
        <v>82</v>
      </c>
      <c r="C33" s="17" t="s">
        <v>83</v>
      </c>
      <c r="D33" s="4" t="s">
        <v>4</v>
      </c>
    </row>
    <row r="34" spans="1:4" ht="15.5" x14ac:dyDescent="0.35">
      <c r="A34" s="4">
        <v>31</v>
      </c>
      <c r="B34" s="17" t="s">
        <v>84</v>
      </c>
      <c r="C34" s="17" t="s">
        <v>85</v>
      </c>
      <c r="D34" s="4" t="s">
        <v>4</v>
      </c>
    </row>
    <row r="35" spans="1:4" ht="15.5" x14ac:dyDescent="0.35">
      <c r="A35" s="4">
        <v>32</v>
      </c>
      <c r="B35" s="17" t="s">
        <v>86</v>
      </c>
      <c r="C35" s="17" t="s">
        <v>87</v>
      </c>
      <c r="D35" s="4" t="s">
        <v>4</v>
      </c>
    </row>
    <row r="36" spans="1:4" ht="15.5" x14ac:dyDescent="0.35">
      <c r="A36" s="4">
        <v>33</v>
      </c>
      <c r="B36" s="17" t="s">
        <v>88</v>
      </c>
      <c r="C36" s="17" t="s">
        <v>89</v>
      </c>
      <c r="D36" s="4" t="s">
        <v>4</v>
      </c>
    </row>
    <row r="37" spans="1:4" ht="15.5" x14ac:dyDescent="0.35">
      <c r="A37" s="4">
        <v>34</v>
      </c>
      <c r="B37" s="17" t="s">
        <v>90</v>
      </c>
      <c r="C37" s="18" t="s">
        <v>91</v>
      </c>
      <c r="D37" s="4" t="s">
        <v>4</v>
      </c>
    </row>
    <row r="38" spans="1:4" ht="15.5" x14ac:dyDescent="0.35">
      <c r="A38" s="4">
        <v>35</v>
      </c>
      <c r="B38" s="17" t="s">
        <v>92</v>
      </c>
      <c r="C38" s="17" t="s">
        <v>93</v>
      </c>
      <c r="D38" s="4" t="s">
        <v>4</v>
      </c>
    </row>
    <row r="39" spans="1:4" ht="15.5" x14ac:dyDescent="0.35">
      <c r="A39" s="4">
        <v>36</v>
      </c>
      <c r="B39" s="17" t="s">
        <v>94</v>
      </c>
      <c r="C39" s="17" t="s">
        <v>95</v>
      </c>
      <c r="D39" s="4" t="s">
        <v>4</v>
      </c>
    </row>
    <row r="40" spans="1:4" ht="15.5" x14ac:dyDescent="0.35">
      <c r="A40" s="4">
        <v>37</v>
      </c>
      <c r="B40" s="17" t="s">
        <v>96</v>
      </c>
      <c r="C40" s="17" t="s">
        <v>97</v>
      </c>
      <c r="D40" s="4" t="s">
        <v>4</v>
      </c>
    </row>
    <row r="41" spans="1:4" ht="15.5" x14ac:dyDescent="0.35">
      <c r="A41" s="4">
        <v>38</v>
      </c>
      <c r="B41" s="17" t="s">
        <v>98</v>
      </c>
      <c r="C41" s="17" t="s">
        <v>99</v>
      </c>
      <c r="D41" s="4" t="s">
        <v>4</v>
      </c>
    </row>
    <row r="42" spans="1:4" ht="15.5" x14ac:dyDescent="0.35">
      <c r="A42" s="4">
        <v>39</v>
      </c>
      <c r="B42" s="17" t="s">
        <v>100</v>
      </c>
      <c r="C42" s="17" t="s">
        <v>101</v>
      </c>
      <c r="D42" s="4" t="s">
        <v>4</v>
      </c>
    </row>
    <row r="43" spans="1:4" ht="15.5" x14ac:dyDescent="0.35">
      <c r="A43" s="4">
        <v>40</v>
      </c>
      <c r="B43" s="17" t="s">
        <v>102</v>
      </c>
      <c r="C43" s="17" t="s">
        <v>103</v>
      </c>
      <c r="D43" s="4" t="s">
        <v>4</v>
      </c>
    </row>
    <row r="44" spans="1:4" ht="15.5" x14ac:dyDescent="0.35">
      <c r="A44" s="4">
        <v>41</v>
      </c>
      <c r="B44" s="17" t="s">
        <v>104</v>
      </c>
      <c r="C44" s="17" t="s">
        <v>105</v>
      </c>
      <c r="D44" s="4" t="s">
        <v>4</v>
      </c>
    </row>
    <row r="45" spans="1:4" ht="15.5" x14ac:dyDescent="0.35">
      <c r="A45" s="4">
        <v>42</v>
      </c>
      <c r="B45" s="17" t="s">
        <v>106</v>
      </c>
      <c r="C45" s="17" t="s">
        <v>107</v>
      </c>
      <c r="D45" s="4" t="s">
        <v>4</v>
      </c>
    </row>
    <row r="46" spans="1:4" ht="15.5" x14ac:dyDescent="0.35">
      <c r="A46" s="4">
        <v>43</v>
      </c>
      <c r="B46" s="17" t="s">
        <v>108</v>
      </c>
      <c r="C46" s="17" t="s">
        <v>109</v>
      </c>
      <c r="D46" s="4" t="s">
        <v>4</v>
      </c>
    </row>
    <row r="47" spans="1:4" ht="15.5" x14ac:dyDescent="0.35">
      <c r="A47" s="4">
        <v>44</v>
      </c>
      <c r="B47" s="17" t="s">
        <v>110</v>
      </c>
      <c r="C47" s="17" t="s">
        <v>111</v>
      </c>
      <c r="D47" s="4" t="s">
        <v>4</v>
      </c>
    </row>
    <row r="48" spans="1:4" ht="15.5" x14ac:dyDescent="0.35">
      <c r="A48" s="4">
        <v>45</v>
      </c>
      <c r="B48" s="17" t="s">
        <v>112</v>
      </c>
      <c r="C48" s="17" t="s">
        <v>113</v>
      </c>
      <c r="D48" s="4" t="s">
        <v>4</v>
      </c>
    </row>
    <row r="49" spans="1:4" ht="15.5" x14ac:dyDescent="0.35">
      <c r="A49" s="4">
        <v>46</v>
      </c>
      <c r="B49" s="17" t="s">
        <v>114</v>
      </c>
      <c r="C49" s="17" t="s">
        <v>115</v>
      </c>
      <c r="D49" s="4" t="s">
        <v>4</v>
      </c>
    </row>
    <row r="50" spans="1:4" ht="15.5" x14ac:dyDescent="0.35">
      <c r="A50" s="4">
        <v>47</v>
      </c>
      <c r="B50" s="17" t="s">
        <v>116</v>
      </c>
      <c r="C50" s="17" t="s">
        <v>117</v>
      </c>
      <c r="D50" s="4" t="s">
        <v>4</v>
      </c>
    </row>
    <row r="51" spans="1:4" ht="15.5" x14ac:dyDescent="0.35">
      <c r="A51" s="4">
        <v>48</v>
      </c>
      <c r="B51" s="17" t="s">
        <v>118</v>
      </c>
      <c r="C51" s="17" t="s">
        <v>119</v>
      </c>
      <c r="D51" s="4" t="s">
        <v>4</v>
      </c>
    </row>
    <row r="52" spans="1:4" ht="15.5" x14ac:dyDescent="0.35">
      <c r="A52" s="4">
        <v>49</v>
      </c>
      <c r="B52" s="17" t="s">
        <v>120</v>
      </c>
      <c r="C52" s="17" t="s">
        <v>121</v>
      </c>
      <c r="D52" s="4" t="s">
        <v>4</v>
      </c>
    </row>
    <row r="53" spans="1:4" ht="15.5" x14ac:dyDescent="0.35">
      <c r="A53" s="4">
        <v>50</v>
      </c>
      <c r="B53" s="17" t="s">
        <v>122</v>
      </c>
      <c r="C53" s="17" t="s">
        <v>123</v>
      </c>
      <c r="D53" s="4" t="s">
        <v>4</v>
      </c>
    </row>
    <row r="54" spans="1:4" ht="15.5" x14ac:dyDescent="0.35">
      <c r="A54" s="4">
        <v>51</v>
      </c>
      <c r="B54" s="17" t="s">
        <v>124</v>
      </c>
      <c r="C54" s="17" t="s">
        <v>125</v>
      </c>
      <c r="D54" s="4" t="s">
        <v>4</v>
      </c>
    </row>
    <row r="55" spans="1:4" ht="15.5" x14ac:dyDescent="0.35">
      <c r="A55" s="4">
        <v>52</v>
      </c>
      <c r="B55" s="17" t="s">
        <v>126</v>
      </c>
      <c r="C55" s="17" t="s">
        <v>127</v>
      </c>
      <c r="D55" s="4" t="s">
        <v>4</v>
      </c>
    </row>
    <row r="56" spans="1:4" ht="15.5" x14ac:dyDescent="0.35">
      <c r="A56" s="4">
        <v>53</v>
      </c>
      <c r="B56" s="17" t="s">
        <v>128</v>
      </c>
      <c r="C56" s="17" t="s">
        <v>129</v>
      </c>
      <c r="D56" s="4" t="s">
        <v>4</v>
      </c>
    </row>
    <row r="57" spans="1:4" ht="15.5" x14ac:dyDescent="0.35">
      <c r="A57" s="4">
        <v>54</v>
      </c>
      <c r="B57" s="17" t="s">
        <v>130</v>
      </c>
      <c r="C57" s="17" t="s">
        <v>131</v>
      </c>
      <c r="D57" s="4" t="s">
        <v>4</v>
      </c>
    </row>
    <row r="58" spans="1:4" ht="15.5" x14ac:dyDescent="0.35">
      <c r="A58" s="4">
        <v>55</v>
      </c>
      <c r="B58" s="17" t="s">
        <v>132</v>
      </c>
      <c r="C58" s="17" t="s">
        <v>133</v>
      </c>
      <c r="D58" s="4" t="s">
        <v>4</v>
      </c>
    </row>
    <row r="59" spans="1:4" ht="15.5" x14ac:dyDescent="0.35">
      <c r="A59" s="4">
        <v>56</v>
      </c>
      <c r="B59" s="17" t="s">
        <v>134</v>
      </c>
      <c r="C59" s="17" t="s">
        <v>135</v>
      </c>
      <c r="D59" s="4" t="s">
        <v>4</v>
      </c>
    </row>
    <row r="60" spans="1:4" ht="15.5" x14ac:dyDescent="0.35">
      <c r="A60" s="4">
        <v>57</v>
      </c>
      <c r="B60" s="17" t="s">
        <v>136</v>
      </c>
      <c r="C60" s="17" t="s">
        <v>137</v>
      </c>
      <c r="D60" s="4" t="s">
        <v>4</v>
      </c>
    </row>
    <row r="61" spans="1:4" ht="15.5" x14ac:dyDescent="0.35">
      <c r="A61" s="4">
        <v>58</v>
      </c>
      <c r="B61" s="17" t="s">
        <v>138</v>
      </c>
      <c r="C61" s="17" t="s">
        <v>139</v>
      </c>
      <c r="D61" s="4" t="s">
        <v>4</v>
      </c>
    </row>
    <row r="62" spans="1:4" ht="15.5" x14ac:dyDescent="0.35">
      <c r="A62" s="4">
        <v>59</v>
      </c>
      <c r="B62" s="17" t="s">
        <v>140</v>
      </c>
      <c r="C62" s="17" t="s">
        <v>141</v>
      </c>
      <c r="D62" s="4" t="s">
        <v>4</v>
      </c>
    </row>
    <row r="63" spans="1:4" ht="15.5" x14ac:dyDescent="0.35">
      <c r="A63" s="4">
        <v>60</v>
      </c>
      <c r="B63" s="17" t="s">
        <v>142</v>
      </c>
      <c r="C63" s="17" t="s">
        <v>143</v>
      </c>
      <c r="D63" s="4" t="s">
        <v>4</v>
      </c>
    </row>
    <row r="64" spans="1:4" ht="15.5" x14ac:dyDescent="0.35">
      <c r="A64" s="4">
        <v>61</v>
      </c>
      <c r="B64" s="17" t="s">
        <v>144</v>
      </c>
      <c r="C64" s="17" t="s">
        <v>145</v>
      </c>
      <c r="D64" s="4" t="s">
        <v>4</v>
      </c>
    </row>
    <row r="65" spans="1:4" ht="15.5" x14ac:dyDescent="0.35">
      <c r="A65" s="4">
        <v>62</v>
      </c>
      <c r="B65" s="17" t="s">
        <v>146</v>
      </c>
      <c r="C65" s="17" t="s">
        <v>147</v>
      </c>
      <c r="D65" s="4" t="s">
        <v>4</v>
      </c>
    </row>
    <row r="66" spans="1:4" ht="15.5" x14ac:dyDescent="0.35">
      <c r="A66" s="4">
        <v>63</v>
      </c>
      <c r="B66" s="17" t="s">
        <v>148</v>
      </c>
      <c r="C66" s="18" t="s">
        <v>149</v>
      </c>
      <c r="D66" s="4" t="s">
        <v>4</v>
      </c>
    </row>
    <row r="67" spans="1:4" ht="15.5" x14ac:dyDescent="0.35">
      <c r="A67" s="4">
        <v>64</v>
      </c>
      <c r="B67" s="17" t="s">
        <v>150</v>
      </c>
      <c r="C67" s="17" t="s">
        <v>151</v>
      </c>
      <c r="D67" s="4" t="s">
        <v>4</v>
      </c>
    </row>
    <row r="68" spans="1:4" ht="15.5" x14ac:dyDescent="0.35">
      <c r="A68" s="4">
        <v>65</v>
      </c>
      <c r="B68" s="17" t="s">
        <v>152</v>
      </c>
      <c r="C68" s="17" t="s">
        <v>153</v>
      </c>
      <c r="D68" s="4" t="s">
        <v>4</v>
      </c>
    </row>
    <row r="69" spans="1:4" ht="15.5" x14ac:dyDescent="0.35">
      <c r="A69" s="4">
        <v>66</v>
      </c>
      <c r="B69" s="17" t="s">
        <v>154</v>
      </c>
      <c r="C69" s="17" t="s">
        <v>155</v>
      </c>
      <c r="D69" s="4" t="s">
        <v>4</v>
      </c>
    </row>
    <row r="70" spans="1:4" ht="15.5" x14ac:dyDescent="0.35">
      <c r="A70" s="4">
        <v>67</v>
      </c>
      <c r="B70" s="17" t="s">
        <v>156</v>
      </c>
      <c r="C70" s="17" t="s">
        <v>157</v>
      </c>
      <c r="D70" s="4" t="s">
        <v>4</v>
      </c>
    </row>
    <row r="71" spans="1:4" ht="15.5" x14ac:dyDescent="0.35">
      <c r="A71" s="4">
        <v>68</v>
      </c>
      <c r="B71" s="17" t="s">
        <v>158</v>
      </c>
      <c r="C71" s="17" t="s">
        <v>159</v>
      </c>
      <c r="D71" s="4" t="s">
        <v>4</v>
      </c>
    </row>
    <row r="72" spans="1:4" ht="15.5" x14ac:dyDescent="0.35">
      <c r="A72" s="4">
        <v>69</v>
      </c>
      <c r="B72" s="17" t="s">
        <v>160</v>
      </c>
      <c r="C72" s="17" t="s">
        <v>161</v>
      </c>
      <c r="D72" s="4" t="s">
        <v>4</v>
      </c>
    </row>
    <row r="73" spans="1:4" ht="15.5" x14ac:dyDescent="0.35">
      <c r="A73" s="4">
        <v>70</v>
      </c>
      <c r="B73" s="17" t="s">
        <v>162</v>
      </c>
      <c r="C73" s="17" t="s">
        <v>163</v>
      </c>
      <c r="D73" s="4" t="s">
        <v>4</v>
      </c>
    </row>
    <row r="74" spans="1:4" ht="15.5" x14ac:dyDescent="0.35">
      <c r="A74" s="4">
        <v>71</v>
      </c>
      <c r="B74" s="17" t="s">
        <v>164</v>
      </c>
      <c r="C74" s="17" t="s">
        <v>165</v>
      </c>
      <c r="D74" s="4" t="s">
        <v>4</v>
      </c>
    </row>
    <row r="75" spans="1:4" ht="15.5" x14ac:dyDescent="0.35">
      <c r="A75" s="4">
        <v>72</v>
      </c>
      <c r="B75" s="17" t="s">
        <v>166</v>
      </c>
      <c r="C75" s="17" t="s">
        <v>167</v>
      </c>
      <c r="D75" s="4" t="s">
        <v>4</v>
      </c>
    </row>
    <row r="76" spans="1:4" ht="15.5" x14ac:dyDescent="0.35">
      <c r="A76" s="4">
        <v>73</v>
      </c>
      <c r="B76" s="17" t="s">
        <v>168</v>
      </c>
      <c r="C76" s="17" t="s">
        <v>169</v>
      </c>
      <c r="D76" s="4" t="s">
        <v>4</v>
      </c>
    </row>
    <row r="77" spans="1:4" ht="15.5" x14ac:dyDescent="0.35">
      <c r="A77" s="4">
        <v>74</v>
      </c>
      <c r="B77" s="17" t="s">
        <v>170</v>
      </c>
      <c r="C77" s="17" t="s">
        <v>171</v>
      </c>
      <c r="D77" s="4" t="s">
        <v>4</v>
      </c>
    </row>
    <row r="78" spans="1:4" ht="15.5" x14ac:dyDescent="0.35">
      <c r="A78" s="4">
        <v>75</v>
      </c>
      <c r="B78" s="17" t="s">
        <v>172</v>
      </c>
      <c r="C78" s="17" t="s">
        <v>173</v>
      </c>
      <c r="D78" s="4" t="s">
        <v>4</v>
      </c>
    </row>
    <row r="79" spans="1:4" ht="15.5" x14ac:dyDescent="0.35">
      <c r="A79" s="4">
        <v>76</v>
      </c>
      <c r="B79" s="17" t="s">
        <v>174</v>
      </c>
      <c r="C79" s="17" t="s">
        <v>175</v>
      </c>
      <c r="D79" s="4" t="s">
        <v>4</v>
      </c>
    </row>
    <row r="80" spans="1:4" ht="15.5" x14ac:dyDescent="0.35">
      <c r="A80" s="4">
        <v>77</v>
      </c>
      <c r="B80" s="17" t="s">
        <v>176</v>
      </c>
      <c r="C80" s="17" t="s">
        <v>177</v>
      </c>
      <c r="D80" s="4" t="s">
        <v>4</v>
      </c>
    </row>
    <row r="81" spans="1:4" ht="15.5" x14ac:dyDescent="0.35">
      <c r="A81" s="4">
        <v>78</v>
      </c>
      <c r="B81" s="17" t="s">
        <v>178</v>
      </c>
      <c r="C81" s="17" t="s">
        <v>179</v>
      </c>
      <c r="D81" s="4" t="s">
        <v>4</v>
      </c>
    </row>
    <row r="82" spans="1:4" ht="15.5" x14ac:dyDescent="0.35">
      <c r="A82" s="4">
        <v>79</v>
      </c>
      <c r="B82" s="17" t="s">
        <v>180</v>
      </c>
      <c r="C82" s="17" t="s">
        <v>181</v>
      </c>
      <c r="D82" s="4" t="s">
        <v>4</v>
      </c>
    </row>
    <row r="83" spans="1:4" ht="15.5" x14ac:dyDescent="0.35">
      <c r="A83" s="4">
        <v>80</v>
      </c>
      <c r="B83" s="17" t="s">
        <v>182</v>
      </c>
      <c r="C83" s="17" t="s">
        <v>183</v>
      </c>
      <c r="D83" s="4" t="s">
        <v>4</v>
      </c>
    </row>
    <row r="84" spans="1:4" ht="15.5" x14ac:dyDescent="0.35">
      <c r="A84" s="4">
        <v>81</v>
      </c>
      <c r="B84" s="17" t="s">
        <v>184</v>
      </c>
      <c r="C84" s="17" t="s">
        <v>185</v>
      </c>
      <c r="D84" s="4" t="s">
        <v>4</v>
      </c>
    </row>
    <row r="85" spans="1:4" ht="15.5" x14ac:dyDescent="0.35">
      <c r="A85" s="4">
        <v>82</v>
      </c>
      <c r="B85" s="17" t="s">
        <v>186</v>
      </c>
      <c r="C85" s="17" t="s">
        <v>187</v>
      </c>
      <c r="D85" s="4" t="s">
        <v>4</v>
      </c>
    </row>
    <row r="86" spans="1:4" ht="15.5" x14ac:dyDescent="0.35">
      <c r="A86" s="4">
        <v>83</v>
      </c>
      <c r="B86" s="17" t="s">
        <v>188</v>
      </c>
      <c r="C86" s="17" t="s">
        <v>189</v>
      </c>
      <c r="D86" s="4" t="s">
        <v>4</v>
      </c>
    </row>
    <row r="87" spans="1:4" ht="15.5" x14ac:dyDescent="0.35">
      <c r="A87" s="4">
        <v>84</v>
      </c>
      <c r="B87" s="17" t="s">
        <v>190</v>
      </c>
      <c r="C87" s="17" t="s">
        <v>191</v>
      </c>
      <c r="D87" s="4" t="s">
        <v>4</v>
      </c>
    </row>
    <row r="88" spans="1:4" ht="15.5" x14ac:dyDescent="0.35">
      <c r="A88" s="4">
        <v>85</v>
      </c>
      <c r="B88" s="17" t="s">
        <v>192</v>
      </c>
      <c r="C88" s="17" t="s">
        <v>193</v>
      </c>
      <c r="D88" s="4" t="s">
        <v>4</v>
      </c>
    </row>
    <row r="89" spans="1:4" ht="15.5" x14ac:dyDescent="0.35">
      <c r="A89" s="4">
        <v>86</v>
      </c>
      <c r="B89" s="17" t="s">
        <v>194</v>
      </c>
      <c r="C89" s="17" t="s">
        <v>195</v>
      </c>
      <c r="D89" s="4" t="s">
        <v>4</v>
      </c>
    </row>
    <row r="90" spans="1:4" ht="15.5" x14ac:dyDescent="0.35">
      <c r="A90" s="4">
        <v>87</v>
      </c>
      <c r="B90" s="17" t="s">
        <v>196</v>
      </c>
      <c r="C90" s="17" t="s">
        <v>197</v>
      </c>
      <c r="D90" s="4" t="s">
        <v>4</v>
      </c>
    </row>
    <row r="91" spans="1:4" ht="15.5" x14ac:dyDescent="0.35">
      <c r="A91" s="4">
        <v>88</v>
      </c>
      <c r="B91" s="17" t="s">
        <v>198</v>
      </c>
      <c r="C91" s="17" t="s">
        <v>199</v>
      </c>
      <c r="D91" s="4" t="s">
        <v>4</v>
      </c>
    </row>
    <row r="92" spans="1:4" ht="15.5" x14ac:dyDescent="0.35">
      <c r="A92" s="4">
        <v>89</v>
      </c>
      <c r="B92" s="17" t="s">
        <v>200</v>
      </c>
      <c r="C92" s="17" t="s">
        <v>201</v>
      </c>
      <c r="D92" s="4" t="s">
        <v>4</v>
      </c>
    </row>
    <row r="93" spans="1:4" ht="15.5" x14ac:dyDescent="0.35">
      <c r="A93" s="4">
        <v>90</v>
      </c>
      <c r="B93" s="17" t="s">
        <v>202</v>
      </c>
      <c r="C93" s="17" t="s">
        <v>203</v>
      </c>
      <c r="D93" s="4" t="s">
        <v>4</v>
      </c>
    </row>
    <row r="94" spans="1:4" ht="15.5" x14ac:dyDescent="0.35">
      <c r="A94" s="4">
        <v>91</v>
      </c>
      <c r="B94" s="17" t="s">
        <v>204</v>
      </c>
      <c r="C94" s="17" t="s">
        <v>205</v>
      </c>
      <c r="D94" s="4" t="s">
        <v>4</v>
      </c>
    </row>
    <row r="95" spans="1:4" ht="15.5" x14ac:dyDescent="0.35">
      <c r="A95" s="4">
        <v>92</v>
      </c>
      <c r="B95" s="17" t="s">
        <v>206</v>
      </c>
      <c r="C95" s="17" t="s">
        <v>207</v>
      </c>
      <c r="D95" s="4" t="s">
        <v>4</v>
      </c>
    </row>
    <row r="96" spans="1:4" ht="15.5" x14ac:dyDescent="0.35">
      <c r="A96" s="4">
        <v>93</v>
      </c>
      <c r="B96" s="17" t="s">
        <v>208</v>
      </c>
      <c r="C96" s="17" t="s">
        <v>209</v>
      </c>
      <c r="D96" s="4" t="s">
        <v>4</v>
      </c>
    </row>
    <row r="97" spans="1:4" ht="15.5" x14ac:dyDescent="0.35">
      <c r="A97" s="4">
        <v>94</v>
      </c>
      <c r="B97" s="17" t="s">
        <v>210</v>
      </c>
      <c r="C97" s="17" t="s">
        <v>211</v>
      </c>
      <c r="D97" s="4" t="s">
        <v>4</v>
      </c>
    </row>
    <row r="98" spans="1:4" ht="15.5" x14ac:dyDescent="0.35">
      <c r="A98" s="4">
        <v>95</v>
      </c>
      <c r="B98" s="17" t="s">
        <v>212</v>
      </c>
      <c r="C98" s="17" t="s">
        <v>213</v>
      </c>
      <c r="D98" s="4" t="s">
        <v>4</v>
      </c>
    </row>
    <row r="99" spans="1:4" ht="15.5" x14ac:dyDescent="0.35">
      <c r="A99" s="4">
        <v>96</v>
      </c>
      <c r="B99" s="17" t="s">
        <v>214</v>
      </c>
      <c r="C99" s="17" t="s">
        <v>215</v>
      </c>
      <c r="D99" s="4" t="s">
        <v>4</v>
      </c>
    </row>
    <row r="100" spans="1:4" ht="15.5" x14ac:dyDescent="0.35">
      <c r="A100" s="4">
        <v>97</v>
      </c>
      <c r="B100" s="17" t="s">
        <v>216</v>
      </c>
      <c r="C100" s="17" t="s">
        <v>217</v>
      </c>
      <c r="D100" s="4" t="s">
        <v>4</v>
      </c>
    </row>
    <row r="101" spans="1:4" ht="15.5" x14ac:dyDescent="0.35">
      <c r="A101" s="4">
        <v>98</v>
      </c>
      <c r="B101" s="17" t="s">
        <v>218</v>
      </c>
      <c r="C101" s="17" t="s">
        <v>219</v>
      </c>
      <c r="D101" s="4" t="s">
        <v>4</v>
      </c>
    </row>
    <row r="102" spans="1:4" ht="15.5" x14ac:dyDescent="0.35">
      <c r="A102" s="4">
        <v>99</v>
      </c>
      <c r="B102" s="17" t="s">
        <v>220</v>
      </c>
      <c r="C102" s="17" t="s">
        <v>221</v>
      </c>
      <c r="D102" s="4" t="s">
        <v>4</v>
      </c>
    </row>
    <row r="103" spans="1:4" ht="15.5" x14ac:dyDescent="0.35">
      <c r="A103" s="4">
        <v>100</v>
      </c>
      <c r="B103" s="17" t="s">
        <v>222</v>
      </c>
      <c r="C103" s="17" t="s">
        <v>223</v>
      </c>
      <c r="D103" s="4" t="s">
        <v>4</v>
      </c>
    </row>
    <row r="104" spans="1:4" ht="15.5" x14ac:dyDescent="0.35">
      <c r="A104" s="4">
        <v>101</v>
      </c>
      <c r="B104" s="17" t="s">
        <v>224</v>
      </c>
      <c r="C104" s="17" t="s">
        <v>225</v>
      </c>
      <c r="D104" s="4" t="s">
        <v>4</v>
      </c>
    </row>
    <row r="105" spans="1:4" ht="15.5" x14ac:dyDescent="0.35">
      <c r="A105" s="4">
        <v>102</v>
      </c>
      <c r="B105" s="17" t="s">
        <v>226</v>
      </c>
      <c r="C105" s="17" t="s">
        <v>227</v>
      </c>
      <c r="D105" s="4" t="s">
        <v>4</v>
      </c>
    </row>
    <row r="106" spans="1:4" ht="15.5" x14ac:dyDescent="0.35">
      <c r="A106" s="4">
        <v>103</v>
      </c>
      <c r="B106" s="17" t="s">
        <v>228</v>
      </c>
      <c r="C106" s="17" t="s">
        <v>229</v>
      </c>
      <c r="D106" s="4" t="s">
        <v>4</v>
      </c>
    </row>
    <row r="107" spans="1:4" ht="15.5" x14ac:dyDescent="0.35">
      <c r="A107" s="4">
        <v>104</v>
      </c>
      <c r="B107" s="17" t="s">
        <v>230</v>
      </c>
      <c r="C107" s="17" t="s">
        <v>231</v>
      </c>
      <c r="D107" s="4" t="s">
        <v>4</v>
      </c>
    </row>
    <row r="108" spans="1:4" ht="15.5" x14ac:dyDescent="0.35">
      <c r="A108" s="4">
        <v>105</v>
      </c>
      <c r="B108" s="17" t="s">
        <v>232</v>
      </c>
      <c r="C108" s="17" t="s">
        <v>233</v>
      </c>
      <c r="D108" s="4" t="s">
        <v>4</v>
      </c>
    </row>
    <row r="109" spans="1:4" x14ac:dyDescent="0.35">
      <c r="A109" s="25"/>
      <c r="B109" s="16"/>
      <c r="C109" s="16"/>
      <c r="D109" s="25"/>
    </row>
    <row r="110" spans="1:4" x14ac:dyDescent="0.35">
      <c r="A110" s="25"/>
      <c r="B110" s="16"/>
      <c r="C110" s="16"/>
      <c r="D110" s="25"/>
    </row>
    <row r="111" spans="1:4" x14ac:dyDescent="0.35">
      <c r="A111" s="25"/>
      <c r="B111" s="16"/>
      <c r="C111" s="16"/>
      <c r="D111" s="25"/>
    </row>
    <row r="112" spans="1:4" x14ac:dyDescent="0.35">
      <c r="A112" s="25"/>
      <c r="B112" s="16"/>
      <c r="C112" s="16"/>
      <c r="D112" s="25"/>
    </row>
    <row r="113" spans="1:4" x14ac:dyDescent="0.35">
      <c r="A113" s="25"/>
      <c r="B113" s="16"/>
      <c r="C113" s="16"/>
      <c r="D113" s="25"/>
    </row>
    <row r="114" spans="1:4" x14ac:dyDescent="0.35">
      <c r="A114" s="25"/>
      <c r="B114" s="16"/>
      <c r="C114" s="16"/>
      <c r="D114" s="25"/>
    </row>
    <row r="115" spans="1:4" x14ac:dyDescent="0.35">
      <c r="A115" s="25"/>
      <c r="B115" s="16"/>
      <c r="C115" s="16"/>
      <c r="D115" s="25"/>
    </row>
    <row r="116" spans="1:4" x14ac:dyDescent="0.35">
      <c r="A116" s="25"/>
      <c r="B116" s="16"/>
      <c r="C116" s="16"/>
      <c r="D116" s="25"/>
    </row>
    <row r="117" spans="1:4" x14ac:dyDescent="0.35">
      <c r="A117" s="25"/>
      <c r="B117" s="16"/>
      <c r="C117" s="16"/>
      <c r="D117" s="25"/>
    </row>
    <row r="118" spans="1:4" x14ac:dyDescent="0.35">
      <c r="A118" s="25"/>
      <c r="B118" s="16"/>
      <c r="C118" s="16"/>
      <c r="D118" s="25"/>
    </row>
    <row r="119" spans="1:4" x14ac:dyDescent="0.35">
      <c r="A119" s="25"/>
      <c r="B119" s="16"/>
      <c r="C119" s="16"/>
      <c r="D119" s="25"/>
    </row>
    <row r="120" spans="1:4" x14ac:dyDescent="0.35">
      <c r="A120" s="25"/>
      <c r="B120" s="16"/>
      <c r="C120" s="16"/>
      <c r="D120" s="25"/>
    </row>
    <row r="121" spans="1:4" x14ac:dyDescent="0.35">
      <c r="A121" s="25"/>
      <c r="B121" s="16"/>
      <c r="C121" s="16"/>
      <c r="D121" s="25"/>
    </row>
    <row r="122" spans="1:4" x14ac:dyDescent="0.35">
      <c r="A122" s="25"/>
      <c r="B122" s="16"/>
      <c r="C122" s="16"/>
      <c r="D122" s="25"/>
    </row>
    <row r="123" spans="1:4" x14ac:dyDescent="0.35">
      <c r="A123" s="25"/>
      <c r="B123" s="16"/>
      <c r="C123" s="16"/>
      <c r="D123" s="25"/>
    </row>
    <row r="124" spans="1:4" x14ac:dyDescent="0.35">
      <c r="A124" s="25"/>
      <c r="B124" s="16"/>
      <c r="C124" s="16"/>
      <c r="D124" s="25"/>
    </row>
    <row r="125" spans="1:4" x14ac:dyDescent="0.35">
      <c r="A125" s="25"/>
      <c r="B125" s="16"/>
      <c r="C125" s="16"/>
      <c r="D125" s="25"/>
    </row>
    <row r="126" spans="1:4" x14ac:dyDescent="0.35">
      <c r="A126" s="25"/>
      <c r="B126" s="16"/>
      <c r="C126" s="16"/>
      <c r="D126" s="25"/>
    </row>
    <row r="127" spans="1:4" x14ac:dyDescent="0.35">
      <c r="A127" s="25"/>
      <c r="B127" s="16"/>
      <c r="C127" s="16"/>
      <c r="D127" s="25"/>
    </row>
    <row r="128" spans="1:4" x14ac:dyDescent="0.35">
      <c r="A128" s="25"/>
      <c r="B128" s="16"/>
      <c r="C128" s="16"/>
      <c r="D128" s="25"/>
    </row>
    <row r="129" spans="1:4" x14ac:dyDescent="0.35">
      <c r="A129" s="25"/>
      <c r="B129" s="16"/>
      <c r="C129" s="16"/>
      <c r="D129" s="25"/>
    </row>
    <row r="130" spans="1:4" x14ac:dyDescent="0.35">
      <c r="A130" s="25"/>
      <c r="B130" s="16"/>
      <c r="C130" s="16"/>
      <c r="D130" s="25"/>
    </row>
    <row r="131" spans="1:4" x14ac:dyDescent="0.35">
      <c r="A131" s="25"/>
      <c r="B131" s="16"/>
      <c r="C131" s="16"/>
      <c r="D131" s="25"/>
    </row>
    <row r="132" spans="1:4" x14ac:dyDescent="0.35">
      <c r="A132" s="25"/>
      <c r="B132" s="16"/>
      <c r="C132" s="16"/>
      <c r="D132" s="25"/>
    </row>
    <row r="133" spans="1:4" x14ac:dyDescent="0.35">
      <c r="A133" s="25"/>
      <c r="B133" s="16"/>
      <c r="C133" s="16"/>
      <c r="D133" s="25"/>
    </row>
    <row r="134" spans="1:4" x14ac:dyDescent="0.35">
      <c r="A134" s="75"/>
      <c r="B134" s="75"/>
      <c r="C134" s="75"/>
      <c r="D134" s="26"/>
    </row>
  </sheetData>
  <mergeCells count="2">
    <mergeCell ref="A1:D2"/>
    <mergeCell ref="A134:C1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3"/>
  <sheetViews>
    <sheetView topLeftCell="A86" zoomScaleNormal="100" workbookViewId="0">
      <selection activeCell="G99" sqref="G99"/>
    </sheetView>
  </sheetViews>
  <sheetFormatPr defaultRowHeight="14.5" x14ac:dyDescent="0.35"/>
  <cols>
    <col min="1" max="1" width="9.1796875" style="2"/>
    <col min="2" max="2" width="17.453125" customWidth="1"/>
    <col min="3" max="3" width="40.26953125" customWidth="1"/>
    <col min="4" max="6" width="6.81640625" style="2" customWidth="1"/>
    <col min="7" max="7" width="9.1796875" style="6"/>
  </cols>
  <sheetData>
    <row r="1" spans="1:8" ht="15" customHeight="1" x14ac:dyDescent="0.35">
      <c r="A1" s="68" t="s">
        <v>250</v>
      </c>
      <c r="B1" s="68"/>
      <c r="C1" s="68"/>
      <c r="D1" s="68"/>
      <c r="E1" s="68"/>
      <c r="F1" s="68"/>
      <c r="G1" s="68"/>
    </row>
    <row r="2" spans="1:8" x14ac:dyDescent="0.35">
      <c r="A2" s="68"/>
      <c r="B2" s="68"/>
      <c r="C2" s="68"/>
      <c r="D2" s="68"/>
      <c r="E2" s="68"/>
      <c r="F2" s="68"/>
      <c r="G2" s="68"/>
    </row>
    <row r="3" spans="1:8" x14ac:dyDescent="0.35">
      <c r="A3" s="74" t="s">
        <v>0</v>
      </c>
      <c r="B3" s="74" t="s">
        <v>1</v>
      </c>
      <c r="C3" s="74"/>
      <c r="D3" s="77" t="s">
        <v>6</v>
      </c>
      <c r="E3" s="78"/>
      <c r="F3" s="78"/>
      <c r="G3" s="79"/>
      <c r="H3" s="76" t="s">
        <v>7</v>
      </c>
    </row>
    <row r="4" spans="1:8" x14ac:dyDescent="0.35">
      <c r="A4" s="74"/>
      <c r="B4" s="74"/>
      <c r="C4" s="74"/>
      <c r="D4" s="5">
        <v>2019</v>
      </c>
      <c r="E4" s="5">
        <v>2020</v>
      </c>
      <c r="F4" s="3">
        <v>2021</v>
      </c>
      <c r="G4" s="15">
        <v>2022</v>
      </c>
      <c r="H4" s="76"/>
    </row>
    <row r="5" spans="1:8" ht="15.5" x14ac:dyDescent="0.35">
      <c r="A5" s="23">
        <v>1</v>
      </c>
      <c r="B5" s="17" t="s">
        <v>26</v>
      </c>
      <c r="C5" s="18" t="s">
        <v>239</v>
      </c>
      <c r="D5" s="23" t="s">
        <v>4</v>
      </c>
      <c r="E5" s="23" t="s">
        <v>4</v>
      </c>
      <c r="F5" s="23" t="s">
        <v>4</v>
      </c>
      <c r="G5" s="28" t="s">
        <v>4</v>
      </c>
      <c r="H5" s="28" t="s">
        <v>4</v>
      </c>
    </row>
    <row r="6" spans="1:8" ht="15.5" x14ac:dyDescent="0.35">
      <c r="A6" s="23">
        <v>2</v>
      </c>
      <c r="B6" s="17" t="s">
        <v>27</v>
      </c>
      <c r="C6" s="17" t="s">
        <v>28</v>
      </c>
      <c r="D6" s="23" t="s">
        <v>4</v>
      </c>
      <c r="E6" s="23" t="s">
        <v>10</v>
      </c>
      <c r="F6" s="23" t="s">
        <v>10</v>
      </c>
      <c r="G6" s="27" t="s">
        <v>10</v>
      </c>
      <c r="H6" s="27" t="s">
        <v>10</v>
      </c>
    </row>
    <row r="7" spans="1:8" ht="15.5" x14ac:dyDescent="0.35">
      <c r="A7" s="23">
        <v>3</v>
      </c>
      <c r="B7" s="17" t="s">
        <v>29</v>
      </c>
      <c r="C7" s="17" t="s">
        <v>30</v>
      </c>
      <c r="D7" s="23" t="s">
        <v>4</v>
      </c>
      <c r="E7" s="23" t="s">
        <v>4</v>
      </c>
      <c r="F7" s="23" t="s">
        <v>4</v>
      </c>
      <c r="G7" s="28" t="s">
        <v>4</v>
      </c>
      <c r="H7" s="28" t="s">
        <v>4</v>
      </c>
    </row>
    <row r="8" spans="1:8" ht="15.5" x14ac:dyDescent="0.35">
      <c r="A8" s="23">
        <v>4</v>
      </c>
      <c r="B8" s="17" t="s">
        <v>31</v>
      </c>
      <c r="C8" s="17" t="s">
        <v>32</v>
      </c>
      <c r="D8" s="23" t="s">
        <v>4</v>
      </c>
      <c r="E8" s="23" t="s">
        <v>4</v>
      </c>
      <c r="F8" s="23" t="s">
        <v>4</v>
      </c>
      <c r="G8" s="24" t="s">
        <v>4</v>
      </c>
      <c r="H8" s="24" t="s">
        <v>4</v>
      </c>
    </row>
    <row r="9" spans="1:8" ht="15.5" x14ac:dyDescent="0.35">
      <c r="A9" s="23">
        <v>5</v>
      </c>
      <c r="B9" s="17" t="s">
        <v>33</v>
      </c>
      <c r="C9" s="17" t="s">
        <v>34</v>
      </c>
      <c r="D9" s="23" t="s">
        <v>4</v>
      </c>
      <c r="E9" s="23" t="s">
        <v>4</v>
      </c>
      <c r="F9" s="23" t="s">
        <v>4</v>
      </c>
      <c r="G9" s="24" t="s">
        <v>4</v>
      </c>
      <c r="H9" s="24" t="s">
        <v>4</v>
      </c>
    </row>
    <row r="10" spans="1:8" ht="15.5" x14ac:dyDescent="0.35">
      <c r="A10" s="23">
        <v>6</v>
      </c>
      <c r="B10" s="17" t="s">
        <v>35</v>
      </c>
      <c r="C10" s="17" t="s">
        <v>36</v>
      </c>
      <c r="D10" s="23" t="s">
        <v>4</v>
      </c>
      <c r="E10" s="23" t="s">
        <v>4</v>
      </c>
      <c r="F10" s="23" t="s">
        <v>4</v>
      </c>
      <c r="G10" s="28" t="s">
        <v>4</v>
      </c>
      <c r="H10" s="28" t="s">
        <v>4</v>
      </c>
    </row>
    <row r="11" spans="1:8" ht="15.5" x14ac:dyDescent="0.35">
      <c r="A11" s="23">
        <v>7</v>
      </c>
      <c r="B11" s="17" t="s">
        <v>37</v>
      </c>
      <c r="C11" s="17" t="s">
        <v>38</v>
      </c>
      <c r="D11" s="23" t="s">
        <v>4</v>
      </c>
      <c r="E11" s="23" t="s">
        <v>4</v>
      </c>
      <c r="F11" s="23" t="s">
        <v>4</v>
      </c>
      <c r="G11" s="24" t="s">
        <v>4</v>
      </c>
      <c r="H11" s="24" t="s">
        <v>4</v>
      </c>
    </row>
    <row r="12" spans="1:8" ht="15.5" x14ac:dyDescent="0.35">
      <c r="A12" s="23">
        <v>8</v>
      </c>
      <c r="B12" s="17" t="s">
        <v>39</v>
      </c>
      <c r="C12" s="17" t="s">
        <v>40</v>
      </c>
      <c r="D12" s="23" t="s">
        <v>4</v>
      </c>
      <c r="E12" s="23" t="s">
        <v>4</v>
      </c>
      <c r="F12" s="23" t="s">
        <v>4</v>
      </c>
      <c r="G12" s="24" t="s">
        <v>4</v>
      </c>
      <c r="H12" s="24" t="s">
        <v>4</v>
      </c>
    </row>
    <row r="13" spans="1:8" ht="15.5" x14ac:dyDescent="0.35">
      <c r="A13" s="23">
        <v>9</v>
      </c>
      <c r="B13" s="17" t="s">
        <v>41</v>
      </c>
      <c r="C13" s="17" t="s">
        <v>42</v>
      </c>
      <c r="D13" s="23" t="s">
        <v>10</v>
      </c>
      <c r="E13" s="23" t="s">
        <v>10</v>
      </c>
      <c r="F13" s="23" t="s">
        <v>10</v>
      </c>
      <c r="G13" s="27" t="s">
        <v>10</v>
      </c>
      <c r="H13" s="27" t="s">
        <v>10</v>
      </c>
    </row>
    <row r="14" spans="1:8" ht="15.5" x14ac:dyDescent="0.35">
      <c r="A14" s="23">
        <v>10</v>
      </c>
      <c r="B14" s="17" t="s">
        <v>43</v>
      </c>
      <c r="C14" s="17" t="s">
        <v>44</v>
      </c>
      <c r="D14" s="23" t="s">
        <v>4</v>
      </c>
      <c r="E14" s="23" t="s">
        <v>4</v>
      </c>
      <c r="F14" s="23" t="s">
        <v>4</v>
      </c>
      <c r="G14" s="28" t="s">
        <v>4</v>
      </c>
      <c r="H14" s="28" t="s">
        <v>4</v>
      </c>
    </row>
    <row r="15" spans="1:8" ht="15.5" x14ac:dyDescent="0.35">
      <c r="A15" s="23">
        <v>11</v>
      </c>
      <c r="B15" s="17" t="s">
        <v>45</v>
      </c>
      <c r="C15" s="17" t="s">
        <v>235</v>
      </c>
      <c r="D15" s="23" t="s">
        <v>4</v>
      </c>
      <c r="E15" s="23" t="s">
        <v>4</v>
      </c>
      <c r="F15" s="23" t="s">
        <v>4</v>
      </c>
      <c r="G15" s="28" t="s">
        <v>4</v>
      </c>
      <c r="H15" s="28" t="s">
        <v>4</v>
      </c>
    </row>
    <row r="16" spans="1:8" ht="15.5" x14ac:dyDescent="0.35">
      <c r="A16" s="23">
        <v>12</v>
      </c>
      <c r="B16" s="17" t="s">
        <v>46</v>
      </c>
      <c r="C16" s="17" t="s">
        <v>47</v>
      </c>
      <c r="D16" s="23" t="s">
        <v>4</v>
      </c>
      <c r="E16" s="23" t="s">
        <v>4</v>
      </c>
      <c r="F16" s="23" t="s">
        <v>10</v>
      </c>
      <c r="G16" s="27" t="s">
        <v>4</v>
      </c>
      <c r="H16" s="27" t="s">
        <v>10</v>
      </c>
    </row>
    <row r="17" spans="1:8" ht="15.5" x14ac:dyDescent="0.35">
      <c r="A17" s="23">
        <v>13</v>
      </c>
      <c r="B17" s="17" t="s">
        <v>48</v>
      </c>
      <c r="C17" s="17" t="s">
        <v>49</v>
      </c>
      <c r="D17" s="23" t="s">
        <v>10</v>
      </c>
      <c r="E17" s="23" t="s">
        <v>10</v>
      </c>
      <c r="F17" s="23" t="s">
        <v>10</v>
      </c>
      <c r="G17" s="27" t="s">
        <v>10</v>
      </c>
      <c r="H17" s="27" t="s">
        <v>10</v>
      </c>
    </row>
    <row r="18" spans="1:8" ht="15.5" x14ac:dyDescent="0.35">
      <c r="A18" s="23">
        <v>14</v>
      </c>
      <c r="B18" s="17" t="s">
        <v>50</v>
      </c>
      <c r="C18" s="17" t="s">
        <v>51</v>
      </c>
      <c r="D18" s="23" t="s">
        <v>10</v>
      </c>
      <c r="E18" s="23" t="s">
        <v>10</v>
      </c>
      <c r="F18" s="23" t="s">
        <v>4</v>
      </c>
      <c r="G18" s="27" t="s">
        <v>10</v>
      </c>
      <c r="H18" s="27" t="s">
        <v>10</v>
      </c>
    </row>
    <row r="19" spans="1:8" ht="15.5" x14ac:dyDescent="0.35">
      <c r="A19" s="23">
        <v>15</v>
      </c>
      <c r="B19" s="17" t="s">
        <v>52</v>
      </c>
      <c r="C19" s="17" t="s">
        <v>53</v>
      </c>
      <c r="D19" s="23" t="s">
        <v>4</v>
      </c>
      <c r="E19" s="23" t="s">
        <v>4</v>
      </c>
      <c r="F19" s="23" t="s">
        <v>4</v>
      </c>
      <c r="G19" s="28" t="s">
        <v>4</v>
      </c>
      <c r="H19" s="28" t="s">
        <v>4</v>
      </c>
    </row>
    <row r="20" spans="1:8" ht="15.5" x14ac:dyDescent="0.35">
      <c r="A20" s="23">
        <v>16</v>
      </c>
      <c r="B20" s="17" t="s">
        <v>54</v>
      </c>
      <c r="C20" s="17" t="s">
        <v>55</v>
      </c>
      <c r="D20" s="23" t="s">
        <v>4</v>
      </c>
      <c r="E20" s="23" t="s">
        <v>4</v>
      </c>
      <c r="F20" s="38" t="s">
        <v>4</v>
      </c>
      <c r="G20" s="28" t="s">
        <v>4</v>
      </c>
      <c r="H20" s="28" t="s">
        <v>4</v>
      </c>
    </row>
    <row r="21" spans="1:8" ht="15.5" x14ac:dyDescent="0.35">
      <c r="A21" s="23">
        <v>17</v>
      </c>
      <c r="B21" s="17" t="s">
        <v>56</v>
      </c>
      <c r="C21" s="17" t="s">
        <v>57</v>
      </c>
      <c r="D21" s="23" t="s">
        <v>240</v>
      </c>
      <c r="E21" s="23" t="s">
        <v>10</v>
      </c>
      <c r="F21" s="23" t="s">
        <v>4</v>
      </c>
      <c r="G21" s="27" t="s">
        <v>4</v>
      </c>
      <c r="H21" s="27" t="s">
        <v>10</v>
      </c>
    </row>
    <row r="22" spans="1:8" ht="15.5" x14ac:dyDescent="0.35">
      <c r="A22" s="23">
        <v>18</v>
      </c>
      <c r="B22" s="17" t="s">
        <v>58</v>
      </c>
      <c r="C22" s="17" t="s">
        <v>59</v>
      </c>
      <c r="D22" s="23" t="s">
        <v>4</v>
      </c>
      <c r="E22" s="23" t="s">
        <v>4</v>
      </c>
      <c r="F22" s="23" t="s">
        <v>4</v>
      </c>
      <c r="G22" s="24" t="s">
        <v>4</v>
      </c>
      <c r="H22" s="24" t="s">
        <v>4</v>
      </c>
    </row>
    <row r="23" spans="1:8" ht="15.5" x14ac:dyDescent="0.35">
      <c r="A23" s="23">
        <v>19</v>
      </c>
      <c r="B23" s="17" t="s">
        <v>60</v>
      </c>
      <c r="C23" s="17" t="s">
        <v>61</v>
      </c>
      <c r="D23" s="23" t="s">
        <v>4</v>
      </c>
      <c r="E23" s="23" t="s">
        <v>4</v>
      </c>
      <c r="F23" s="23" t="s">
        <v>4</v>
      </c>
      <c r="G23" s="24" t="s">
        <v>4</v>
      </c>
      <c r="H23" s="24" t="s">
        <v>4</v>
      </c>
    </row>
    <row r="24" spans="1:8" ht="15.5" x14ac:dyDescent="0.35">
      <c r="A24" s="23">
        <v>20</v>
      </c>
      <c r="B24" s="17" t="s">
        <v>62</v>
      </c>
      <c r="C24" s="17" t="s">
        <v>63</v>
      </c>
      <c r="D24" s="23" t="s">
        <v>4</v>
      </c>
      <c r="E24" s="23" t="s">
        <v>10</v>
      </c>
      <c r="F24" s="23" t="s">
        <v>4</v>
      </c>
      <c r="G24" s="27" t="s">
        <v>4</v>
      </c>
      <c r="H24" s="27" t="s">
        <v>10</v>
      </c>
    </row>
    <row r="25" spans="1:8" ht="15.5" x14ac:dyDescent="0.35">
      <c r="A25" s="23">
        <v>21</v>
      </c>
      <c r="B25" s="17" t="s">
        <v>64</v>
      </c>
      <c r="C25" s="17" t="s">
        <v>65</v>
      </c>
      <c r="D25" s="23" t="s">
        <v>4</v>
      </c>
      <c r="E25" s="23" t="s">
        <v>10</v>
      </c>
      <c r="F25" s="23" t="s">
        <v>4</v>
      </c>
      <c r="G25" s="39" t="s">
        <v>10</v>
      </c>
      <c r="H25" s="39" t="s">
        <v>10</v>
      </c>
    </row>
    <row r="26" spans="1:8" ht="15.5" x14ac:dyDescent="0.35">
      <c r="A26" s="23">
        <v>22</v>
      </c>
      <c r="B26" s="17" t="s">
        <v>66</v>
      </c>
      <c r="C26" s="17" t="s">
        <v>67</v>
      </c>
      <c r="D26" s="23" t="s">
        <v>4</v>
      </c>
      <c r="E26" s="23" t="s">
        <v>4</v>
      </c>
      <c r="F26" s="23" t="s">
        <v>4</v>
      </c>
      <c r="G26" s="28" t="s">
        <v>4</v>
      </c>
      <c r="H26" s="28" t="s">
        <v>4</v>
      </c>
    </row>
    <row r="27" spans="1:8" ht="15.5" x14ac:dyDescent="0.35">
      <c r="A27" s="23">
        <v>23</v>
      </c>
      <c r="B27" s="17" t="s">
        <v>68</v>
      </c>
      <c r="C27" s="17" t="s">
        <v>69</v>
      </c>
      <c r="D27" s="23" t="s">
        <v>10</v>
      </c>
      <c r="E27" s="23" t="s">
        <v>4</v>
      </c>
      <c r="F27" s="23" t="s">
        <v>4</v>
      </c>
      <c r="G27" s="27" t="s">
        <v>4</v>
      </c>
      <c r="H27" s="27" t="s">
        <v>10</v>
      </c>
    </row>
    <row r="28" spans="1:8" ht="15.5" x14ac:dyDescent="0.35">
      <c r="A28" s="23">
        <v>24</v>
      </c>
      <c r="B28" s="17" t="s">
        <v>70</v>
      </c>
      <c r="C28" s="17" t="s">
        <v>71</v>
      </c>
      <c r="D28" s="23" t="s">
        <v>4</v>
      </c>
      <c r="E28" s="23" t="s">
        <v>10</v>
      </c>
      <c r="F28" s="23" t="s">
        <v>10</v>
      </c>
      <c r="G28" s="24" t="s">
        <v>10</v>
      </c>
      <c r="H28" s="39" t="s">
        <v>10</v>
      </c>
    </row>
    <row r="29" spans="1:8" ht="15.5" x14ac:dyDescent="0.35">
      <c r="A29" s="23">
        <v>25</v>
      </c>
      <c r="B29" s="17" t="s">
        <v>72</v>
      </c>
      <c r="C29" s="17" t="s">
        <v>73</v>
      </c>
      <c r="D29" s="23" t="s">
        <v>4</v>
      </c>
      <c r="E29" s="23" t="s">
        <v>4</v>
      </c>
      <c r="F29" s="23" t="s">
        <v>4</v>
      </c>
      <c r="G29" s="24" t="s">
        <v>4</v>
      </c>
      <c r="H29" s="24" t="s">
        <v>4</v>
      </c>
    </row>
    <row r="30" spans="1:8" ht="15.5" x14ac:dyDescent="0.35">
      <c r="A30" s="23">
        <v>26</v>
      </c>
      <c r="B30" s="17" t="s">
        <v>74</v>
      </c>
      <c r="C30" s="17" t="s">
        <v>75</v>
      </c>
      <c r="D30" s="23" t="s">
        <v>4</v>
      </c>
      <c r="E30" s="23" t="s">
        <v>4</v>
      </c>
      <c r="F30" s="23" t="s">
        <v>4</v>
      </c>
      <c r="G30" s="28" t="s">
        <v>4</v>
      </c>
      <c r="H30" s="28" t="s">
        <v>4</v>
      </c>
    </row>
    <row r="31" spans="1:8" ht="15.5" x14ac:dyDescent="0.35">
      <c r="A31" s="23">
        <v>27</v>
      </c>
      <c r="B31" s="17" t="s">
        <v>76</v>
      </c>
      <c r="C31" s="17" t="s">
        <v>77</v>
      </c>
      <c r="D31" s="23" t="s">
        <v>4</v>
      </c>
      <c r="E31" s="23" t="s">
        <v>4</v>
      </c>
      <c r="F31" s="23" t="s">
        <v>4</v>
      </c>
      <c r="G31" s="28" t="s">
        <v>4</v>
      </c>
      <c r="H31" s="28" t="s">
        <v>4</v>
      </c>
    </row>
    <row r="32" spans="1:8" ht="15.5" x14ac:dyDescent="0.35">
      <c r="A32" s="23">
        <v>28</v>
      </c>
      <c r="B32" s="17" t="s">
        <v>78</v>
      </c>
      <c r="C32" s="17" t="s">
        <v>79</v>
      </c>
      <c r="D32" s="23" t="s">
        <v>4</v>
      </c>
      <c r="E32" s="23" t="s">
        <v>4</v>
      </c>
      <c r="F32" s="23" t="s">
        <v>4</v>
      </c>
      <c r="G32" s="28" t="s">
        <v>4</v>
      </c>
      <c r="H32" s="28" t="s">
        <v>4</v>
      </c>
    </row>
    <row r="33" spans="1:8" ht="15.5" x14ac:dyDescent="0.35">
      <c r="A33" s="23">
        <v>29</v>
      </c>
      <c r="B33" s="17" t="s">
        <v>80</v>
      </c>
      <c r="C33" s="17" t="s">
        <v>81</v>
      </c>
      <c r="D33" s="23" t="s">
        <v>4</v>
      </c>
      <c r="E33" s="23" t="s">
        <v>4</v>
      </c>
      <c r="F33" s="23" t="s">
        <v>4</v>
      </c>
      <c r="G33" s="28" t="s">
        <v>4</v>
      </c>
      <c r="H33" s="28" t="s">
        <v>4</v>
      </c>
    </row>
    <row r="34" spans="1:8" ht="15.5" x14ac:dyDescent="0.35">
      <c r="A34" s="23">
        <v>30</v>
      </c>
      <c r="B34" s="17" t="s">
        <v>82</v>
      </c>
      <c r="C34" s="17" t="s">
        <v>83</v>
      </c>
      <c r="D34" s="23" t="s">
        <v>4</v>
      </c>
      <c r="E34" s="23" t="s">
        <v>4</v>
      </c>
      <c r="F34" s="23" t="s">
        <v>10</v>
      </c>
      <c r="G34" s="27" t="s">
        <v>10</v>
      </c>
      <c r="H34" s="27" t="s">
        <v>10</v>
      </c>
    </row>
    <row r="35" spans="1:8" ht="15.5" x14ac:dyDescent="0.35">
      <c r="A35" s="23">
        <v>31</v>
      </c>
      <c r="B35" s="17" t="s">
        <v>84</v>
      </c>
      <c r="C35" s="17" t="s">
        <v>85</v>
      </c>
      <c r="D35" s="23" t="s">
        <v>4</v>
      </c>
      <c r="E35" s="23" t="s">
        <v>4</v>
      </c>
      <c r="F35" s="23" t="s">
        <v>4</v>
      </c>
      <c r="G35" s="28" t="s">
        <v>4</v>
      </c>
      <c r="H35" s="28" t="s">
        <v>4</v>
      </c>
    </row>
    <row r="36" spans="1:8" ht="15.5" x14ac:dyDescent="0.35">
      <c r="A36" s="23">
        <v>32</v>
      </c>
      <c r="B36" s="17" t="s">
        <v>86</v>
      </c>
      <c r="C36" s="17" t="s">
        <v>87</v>
      </c>
      <c r="D36" s="23" t="s">
        <v>4</v>
      </c>
      <c r="E36" s="23" t="s">
        <v>10</v>
      </c>
      <c r="F36" s="23" t="s">
        <v>10</v>
      </c>
      <c r="G36" s="27" t="s">
        <v>4</v>
      </c>
      <c r="H36" s="27" t="s">
        <v>10</v>
      </c>
    </row>
    <row r="37" spans="1:8" ht="15.5" x14ac:dyDescent="0.35">
      <c r="A37" s="23">
        <v>33</v>
      </c>
      <c r="B37" s="17" t="s">
        <v>88</v>
      </c>
      <c r="C37" s="17" t="s">
        <v>89</v>
      </c>
      <c r="D37" s="23" t="s">
        <v>4</v>
      </c>
      <c r="E37" s="23" t="s">
        <v>4</v>
      </c>
      <c r="F37" s="23" t="s">
        <v>4</v>
      </c>
      <c r="G37" s="28" t="s">
        <v>4</v>
      </c>
      <c r="H37" s="28" t="s">
        <v>4</v>
      </c>
    </row>
    <row r="38" spans="1:8" ht="15.5" x14ac:dyDescent="0.35">
      <c r="A38" s="23">
        <v>34</v>
      </c>
      <c r="B38" s="17" t="s">
        <v>90</v>
      </c>
      <c r="C38" s="18" t="s">
        <v>91</v>
      </c>
      <c r="D38" s="23" t="s">
        <v>10</v>
      </c>
      <c r="E38" s="23" t="s">
        <v>10</v>
      </c>
      <c r="F38" s="23"/>
      <c r="G38" s="28"/>
      <c r="H38" s="28"/>
    </row>
    <row r="39" spans="1:8" ht="15.5" x14ac:dyDescent="0.35">
      <c r="A39" s="23">
        <v>35</v>
      </c>
      <c r="B39" s="17" t="s">
        <v>92</v>
      </c>
      <c r="C39" s="17" t="s">
        <v>93</v>
      </c>
      <c r="D39" s="23" t="s">
        <v>4</v>
      </c>
      <c r="E39" s="23" t="s">
        <v>4</v>
      </c>
      <c r="F39" s="23" t="s">
        <v>4</v>
      </c>
      <c r="G39" s="28" t="s">
        <v>4</v>
      </c>
      <c r="H39" s="28" t="s">
        <v>4</v>
      </c>
    </row>
    <row r="40" spans="1:8" ht="15.5" x14ac:dyDescent="0.35">
      <c r="A40" s="23">
        <v>36</v>
      </c>
      <c r="B40" s="17" t="s">
        <v>94</v>
      </c>
      <c r="C40" s="17" t="s">
        <v>95</v>
      </c>
      <c r="D40" s="23" t="s">
        <v>4</v>
      </c>
      <c r="E40" s="23" t="s">
        <v>4</v>
      </c>
      <c r="F40" s="23" t="s">
        <v>4</v>
      </c>
      <c r="G40" s="28" t="s">
        <v>4</v>
      </c>
      <c r="H40" s="28" t="s">
        <v>4</v>
      </c>
    </row>
    <row r="41" spans="1:8" ht="15.5" x14ac:dyDescent="0.35">
      <c r="A41" s="23">
        <v>37</v>
      </c>
      <c r="B41" s="17" t="s">
        <v>96</v>
      </c>
      <c r="C41" s="17" t="s">
        <v>97</v>
      </c>
      <c r="D41" s="23" t="s">
        <v>4</v>
      </c>
      <c r="E41" s="23" t="s">
        <v>4</v>
      </c>
      <c r="F41" s="23" t="s">
        <v>4</v>
      </c>
      <c r="G41" s="24" t="s">
        <v>4</v>
      </c>
      <c r="H41" s="24" t="s">
        <v>4</v>
      </c>
    </row>
    <row r="42" spans="1:8" ht="15.5" x14ac:dyDescent="0.35">
      <c r="A42" s="23">
        <v>38</v>
      </c>
      <c r="B42" s="17" t="s">
        <v>98</v>
      </c>
      <c r="C42" s="17" t="s">
        <v>99</v>
      </c>
      <c r="D42" s="23" t="s">
        <v>4</v>
      </c>
      <c r="E42" s="23" t="s">
        <v>4</v>
      </c>
      <c r="F42" s="23" t="s">
        <v>4</v>
      </c>
      <c r="G42" s="24" t="s">
        <v>4</v>
      </c>
      <c r="H42" s="24" t="s">
        <v>4</v>
      </c>
    </row>
    <row r="43" spans="1:8" ht="15.5" x14ac:dyDescent="0.35">
      <c r="A43" s="23">
        <v>39</v>
      </c>
      <c r="B43" s="17" t="s">
        <v>100</v>
      </c>
      <c r="C43" s="17" t="s">
        <v>101</v>
      </c>
      <c r="D43" s="23" t="s">
        <v>4</v>
      </c>
      <c r="E43" s="23" t="s">
        <v>4</v>
      </c>
      <c r="F43" s="23" t="s">
        <v>4</v>
      </c>
      <c r="G43" s="24" t="s">
        <v>4</v>
      </c>
      <c r="H43" s="24" t="s">
        <v>4</v>
      </c>
    </row>
    <row r="44" spans="1:8" ht="15.5" x14ac:dyDescent="0.35">
      <c r="A44" s="23">
        <v>40</v>
      </c>
      <c r="B44" s="17" t="s">
        <v>102</v>
      </c>
      <c r="C44" s="17" t="s">
        <v>103</v>
      </c>
      <c r="D44" s="23" t="s">
        <v>4</v>
      </c>
      <c r="E44" s="23" t="s">
        <v>4</v>
      </c>
      <c r="F44" s="23" t="s">
        <v>4</v>
      </c>
      <c r="G44" s="24" t="s">
        <v>4</v>
      </c>
      <c r="H44" s="24" t="s">
        <v>4</v>
      </c>
    </row>
    <row r="45" spans="1:8" ht="15.5" x14ac:dyDescent="0.35">
      <c r="A45" s="23">
        <v>41</v>
      </c>
      <c r="B45" s="17" t="s">
        <v>104</v>
      </c>
      <c r="C45" s="17" t="s">
        <v>105</v>
      </c>
      <c r="D45" s="23" t="s">
        <v>4</v>
      </c>
      <c r="E45" s="23" t="s">
        <v>4</v>
      </c>
      <c r="F45" s="23" t="s">
        <v>4</v>
      </c>
      <c r="G45" s="24" t="s">
        <v>4</v>
      </c>
      <c r="H45" s="24" t="s">
        <v>4</v>
      </c>
    </row>
    <row r="46" spans="1:8" ht="15.5" x14ac:dyDescent="0.35">
      <c r="A46" s="23">
        <v>42</v>
      </c>
      <c r="B46" s="17" t="s">
        <v>106</v>
      </c>
      <c r="C46" s="17" t="s">
        <v>107</v>
      </c>
      <c r="D46" s="23" t="s">
        <v>4</v>
      </c>
      <c r="E46" s="23" t="s">
        <v>4</v>
      </c>
      <c r="F46" s="23" t="s">
        <v>4</v>
      </c>
      <c r="G46" s="24" t="s">
        <v>4</v>
      </c>
      <c r="H46" s="24" t="s">
        <v>4</v>
      </c>
    </row>
    <row r="47" spans="1:8" ht="15.5" x14ac:dyDescent="0.35">
      <c r="A47" s="23">
        <v>43</v>
      </c>
      <c r="B47" s="17" t="s">
        <v>108</v>
      </c>
      <c r="C47" s="17" t="s">
        <v>109</v>
      </c>
      <c r="D47" s="23" t="s">
        <v>4</v>
      </c>
      <c r="E47" s="23" t="s">
        <v>4</v>
      </c>
      <c r="F47" s="23" t="s">
        <v>4</v>
      </c>
      <c r="G47" s="24" t="s">
        <v>4</v>
      </c>
      <c r="H47" s="24" t="s">
        <v>4</v>
      </c>
    </row>
    <row r="48" spans="1:8" ht="15.5" x14ac:dyDescent="0.35">
      <c r="A48" s="23">
        <v>44</v>
      </c>
      <c r="B48" s="17" t="s">
        <v>110</v>
      </c>
      <c r="C48" s="17" t="s">
        <v>111</v>
      </c>
      <c r="D48" s="23" t="s">
        <v>4</v>
      </c>
      <c r="E48" s="23" t="s">
        <v>4</v>
      </c>
      <c r="F48" s="23" t="s">
        <v>4</v>
      </c>
      <c r="G48" s="24" t="s">
        <v>4</v>
      </c>
      <c r="H48" s="24" t="s">
        <v>4</v>
      </c>
    </row>
    <row r="49" spans="1:8" ht="15.5" x14ac:dyDescent="0.35">
      <c r="A49" s="23">
        <v>45</v>
      </c>
      <c r="B49" s="17" t="s">
        <v>112</v>
      </c>
      <c r="C49" s="17" t="s">
        <v>113</v>
      </c>
      <c r="D49" s="23" t="s">
        <v>4</v>
      </c>
      <c r="E49" s="23" t="s">
        <v>4</v>
      </c>
      <c r="F49" s="23" t="s">
        <v>4</v>
      </c>
      <c r="G49" s="24" t="s">
        <v>4</v>
      </c>
      <c r="H49" s="24" t="s">
        <v>4</v>
      </c>
    </row>
    <row r="50" spans="1:8" ht="15.5" x14ac:dyDescent="0.35">
      <c r="A50" s="23">
        <v>46</v>
      </c>
      <c r="B50" s="17" t="s">
        <v>114</v>
      </c>
      <c r="C50" s="17" t="s">
        <v>241</v>
      </c>
      <c r="D50" s="23" t="s">
        <v>4</v>
      </c>
      <c r="E50" s="23" t="s">
        <v>4</v>
      </c>
      <c r="F50" s="23" t="s">
        <v>4</v>
      </c>
      <c r="G50" s="24" t="s">
        <v>4</v>
      </c>
      <c r="H50" s="24" t="s">
        <v>4</v>
      </c>
    </row>
    <row r="51" spans="1:8" ht="15.5" x14ac:dyDescent="0.35">
      <c r="A51" s="23">
        <v>47</v>
      </c>
      <c r="B51" s="17" t="s">
        <v>116</v>
      </c>
      <c r="C51" s="17" t="s">
        <v>117</v>
      </c>
      <c r="D51" s="23" t="s">
        <v>4</v>
      </c>
      <c r="E51" s="23" t="s">
        <v>4</v>
      </c>
      <c r="F51" s="23" t="s">
        <v>10</v>
      </c>
      <c r="G51" s="39" t="s">
        <v>10</v>
      </c>
      <c r="H51" s="39" t="s">
        <v>10</v>
      </c>
    </row>
    <row r="52" spans="1:8" ht="15.5" x14ac:dyDescent="0.35">
      <c r="A52" s="23">
        <v>48</v>
      </c>
      <c r="B52" s="17" t="s">
        <v>118</v>
      </c>
      <c r="C52" s="17" t="s">
        <v>119</v>
      </c>
      <c r="D52" s="23" t="s">
        <v>4</v>
      </c>
      <c r="E52" s="23" t="s">
        <v>10</v>
      </c>
      <c r="F52" s="23" t="s">
        <v>10</v>
      </c>
      <c r="G52" s="23" t="s">
        <v>4</v>
      </c>
      <c r="H52" s="23" t="s">
        <v>10</v>
      </c>
    </row>
    <row r="53" spans="1:8" ht="15.5" x14ac:dyDescent="0.35">
      <c r="A53" s="23">
        <v>49</v>
      </c>
      <c r="B53" s="17" t="s">
        <v>120</v>
      </c>
      <c r="C53" s="17" t="s">
        <v>121</v>
      </c>
      <c r="D53" s="23" t="s">
        <v>4</v>
      </c>
      <c r="E53" s="23" t="s">
        <v>4</v>
      </c>
      <c r="F53" s="23" t="s">
        <v>4</v>
      </c>
      <c r="G53" s="40" t="s">
        <v>4</v>
      </c>
      <c r="H53" s="40" t="s">
        <v>4</v>
      </c>
    </row>
    <row r="54" spans="1:8" ht="15.5" x14ac:dyDescent="0.35">
      <c r="A54" s="23">
        <v>50</v>
      </c>
      <c r="B54" s="17" t="s">
        <v>122</v>
      </c>
      <c r="C54" s="17" t="s">
        <v>242</v>
      </c>
      <c r="D54" s="23" t="s">
        <v>4</v>
      </c>
      <c r="E54" s="23" t="s">
        <v>10</v>
      </c>
      <c r="F54" s="23" t="s">
        <v>10</v>
      </c>
      <c r="G54" s="27" t="s">
        <v>4</v>
      </c>
      <c r="H54" s="27" t="s">
        <v>10</v>
      </c>
    </row>
    <row r="55" spans="1:8" ht="15.5" x14ac:dyDescent="0.35">
      <c r="A55" s="23">
        <v>51</v>
      </c>
      <c r="B55" s="17" t="s">
        <v>124</v>
      </c>
      <c r="C55" s="17" t="s">
        <v>125</v>
      </c>
      <c r="D55" s="23" t="s">
        <v>4</v>
      </c>
      <c r="E55" s="23" t="s">
        <v>10</v>
      </c>
      <c r="F55" s="23" t="s">
        <v>10</v>
      </c>
      <c r="G55" s="27" t="s">
        <v>10</v>
      </c>
      <c r="H55" s="27" t="s">
        <v>10</v>
      </c>
    </row>
    <row r="56" spans="1:8" ht="15.5" x14ac:dyDescent="0.35">
      <c r="A56" s="23">
        <v>52</v>
      </c>
      <c r="B56" s="17" t="s">
        <v>126</v>
      </c>
      <c r="C56" s="17" t="s">
        <v>127</v>
      </c>
      <c r="D56" s="23" t="s">
        <v>10</v>
      </c>
      <c r="E56" s="23" t="s">
        <v>4</v>
      </c>
      <c r="F56" s="23" t="s">
        <v>4</v>
      </c>
      <c r="G56" s="27" t="s">
        <v>4</v>
      </c>
      <c r="H56" s="27" t="s">
        <v>10</v>
      </c>
    </row>
    <row r="57" spans="1:8" ht="15.5" x14ac:dyDescent="0.35">
      <c r="A57" s="23">
        <v>53</v>
      </c>
      <c r="B57" s="17" t="s">
        <v>128</v>
      </c>
      <c r="C57" s="17" t="s">
        <v>129</v>
      </c>
      <c r="D57" s="23" t="s">
        <v>4</v>
      </c>
      <c r="E57" s="23" t="s">
        <v>4</v>
      </c>
      <c r="F57" s="23" t="s">
        <v>4</v>
      </c>
      <c r="G57" s="28" t="s">
        <v>4</v>
      </c>
      <c r="H57" s="28" t="s">
        <v>4</v>
      </c>
    </row>
    <row r="58" spans="1:8" ht="15.5" x14ac:dyDescent="0.35">
      <c r="A58" s="23">
        <v>54</v>
      </c>
      <c r="B58" s="17" t="s">
        <v>130</v>
      </c>
      <c r="C58" s="17" t="s">
        <v>131</v>
      </c>
      <c r="D58" s="23" t="s">
        <v>4</v>
      </c>
      <c r="E58" s="23" t="s">
        <v>4</v>
      </c>
      <c r="F58" s="23" t="s">
        <v>4</v>
      </c>
      <c r="G58" s="28" t="s">
        <v>4</v>
      </c>
      <c r="H58" s="28" t="s">
        <v>4</v>
      </c>
    </row>
    <row r="59" spans="1:8" ht="15.5" x14ac:dyDescent="0.35">
      <c r="A59" s="23">
        <v>55</v>
      </c>
      <c r="B59" s="17" t="s">
        <v>132</v>
      </c>
      <c r="C59" s="17" t="s">
        <v>133</v>
      </c>
      <c r="D59" s="23" t="s">
        <v>10</v>
      </c>
      <c r="E59" s="23" t="s">
        <v>10</v>
      </c>
      <c r="F59" s="23"/>
      <c r="G59" s="27" t="s">
        <v>10</v>
      </c>
      <c r="H59" s="27" t="s">
        <v>10</v>
      </c>
    </row>
    <row r="60" spans="1:8" ht="15.5" x14ac:dyDescent="0.35">
      <c r="A60" s="23">
        <v>56</v>
      </c>
      <c r="B60" s="17" t="s">
        <v>134</v>
      </c>
      <c r="C60" s="17" t="s">
        <v>135</v>
      </c>
      <c r="D60" s="23" t="s">
        <v>10</v>
      </c>
      <c r="E60" s="23" t="s">
        <v>4</v>
      </c>
      <c r="F60" s="23" t="s">
        <v>10</v>
      </c>
      <c r="G60" s="27" t="s">
        <v>4</v>
      </c>
      <c r="H60" s="27" t="s">
        <v>10</v>
      </c>
    </row>
    <row r="61" spans="1:8" ht="15.5" x14ac:dyDescent="0.35">
      <c r="A61" s="23">
        <v>57</v>
      </c>
      <c r="B61" s="17" t="s">
        <v>136</v>
      </c>
      <c r="C61" s="17" t="s">
        <v>137</v>
      </c>
      <c r="D61" s="23" t="s">
        <v>10</v>
      </c>
      <c r="E61" s="23" t="s">
        <v>4</v>
      </c>
      <c r="F61" s="23" t="s">
        <v>4</v>
      </c>
      <c r="G61" s="27" t="s">
        <v>10</v>
      </c>
      <c r="H61" s="27" t="s">
        <v>10</v>
      </c>
    </row>
    <row r="62" spans="1:8" ht="15.5" x14ac:dyDescent="0.35">
      <c r="A62" s="23">
        <v>58</v>
      </c>
      <c r="B62" s="17" t="s">
        <v>138</v>
      </c>
      <c r="C62" s="17" t="s">
        <v>243</v>
      </c>
      <c r="D62" s="23" t="s">
        <v>4</v>
      </c>
      <c r="E62" s="23" t="s">
        <v>4</v>
      </c>
      <c r="F62" s="23" t="s">
        <v>4</v>
      </c>
      <c r="G62" s="27" t="s">
        <v>10</v>
      </c>
      <c r="H62" s="27" t="s">
        <v>10</v>
      </c>
    </row>
    <row r="63" spans="1:8" ht="15.5" x14ac:dyDescent="0.35">
      <c r="A63" s="23">
        <v>59</v>
      </c>
      <c r="B63" s="17" t="s">
        <v>140</v>
      </c>
      <c r="C63" s="17" t="s">
        <v>244</v>
      </c>
      <c r="D63" s="23" t="s">
        <v>4</v>
      </c>
      <c r="E63" s="23" t="s">
        <v>4</v>
      </c>
      <c r="F63" s="23" t="s">
        <v>4</v>
      </c>
      <c r="G63" s="28" t="s">
        <v>4</v>
      </c>
      <c r="H63" s="28" t="s">
        <v>4</v>
      </c>
    </row>
    <row r="64" spans="1:8" ht="15.5" x14ac:dyDescent="0.35">
      <c r="A64" s="23">
        <v>60</v>
      </c>
      <c r="B64" s="17" t="s">
        <v>142</v>
      </c>
      <c r="C64" s="17" t="s">
        <v>143</v>
      </c>
      <c r="D64" s="23" t="s">
        <v>4</v>
      </c>
      <c r="E64" s="23" t="s">
        <v>4</v>
      </c>
      <c r="F64" s="23" t="s">
        <v>4</v>
      </c>
      <c r="G64" s="28" t="s">
        <v>4</v>
      </c>
      <c r="H64" s="28" t="s">
        <v>4</v>
      </c>
    </row>
    <row r="65" spans="1:8" ht="15.5" x14ac:dyDescent="0.35">
      <c r="A65" s="23">
        <v>61</v>
      </c>
      <c r="B65" s="17" t="s">
        <v>144</v>
      </c>
      <c r="C65" s="17" t="s">
        <v>145</v>
      </c>
      <c r="D65" s="23" t="s">
        <v>4</v>
      </c>
      <c r="E65" s="23" t="s">
        <v>4</v>
      </c>
      <c r="F65" s="23" t="s">
        <v>4</v>
      </c>
      <c r="G65" s="28" t="s">
        <v>4</v>
      </c>
      <c r="H65" s="28" t="s">
        <v>4</v>
      </c>
    </row>
    <row r="66" spans="1:8" ht="15.5" x14ac:dyDescent="0.35">
      <c r="A66" s="23">
        <v>62</v>
      </c>
      <c r="B66" s="17" t="s">
        <v>146</v>
      </c>
      <c r="C66" s="17" t="s">
        <v>147</v>
      </c>
      <c r="D66" s="23" t="s">
        <v>10</v>
      </c>
      <c r="E66" s="23" t="s">
        <v>4</v>
      </c>
      <c r="F66" s="23" t="s">
        <v>10</v>
      </c>
      <c r="G66" s="27" t="s">
        <v>10</v>
      </c>
      <c r="H66" s="27" t="s">
        <v>10</v>
      </c>
    </row>
    <row r="67" spans="1:8" ht="15.5" x14ac:dyDescent="0.35">
      <c r="A67" s="23">
        <v>63</v>
      </c>
      <c r="B67" s="17" t="s">
        <v>148</v>
      </c>
      <c r="C67" s="18" t="s">
        <v>149</v>
      </c>
      <c r="D67" s="23" t="s">
        <v>4</v>
      </c>
      <c r="E67" s="23" t="s">
        <v>4</v>
      </c>
      <c r="F67" s="23" t="s">
        <v>4</v>
      </c>
      <c r="G67" s="28" t="s">
        <v>10</v>
      </c>
      <c r="H67" s="27" t="s">
        <v>10</v>
      </c>
    </row>
    <row r="68" spans="1:8" ht="15.5" x14ac:dyDescent="0.35">
      <c r="A68" s="23">
        <v>64</v>
      </c>
      <c r="B68" s="17" t="s">
        <v>150</v>
      </c>
      <c r="C68" s="17" t="s">
        <v>151</v>
      </c>
      <c r="D68" s="23" t="s">
        <v>10</v>
      </c>
      <c r="E68" s="23" t="s">
        <v>10</v>
      </c>
      <c r="F68" s="23" t="s">
        <v>10</v>
      </c>
      <c r="G68" s="27" t="s">
        <v>10</v>
      </c>
      <c r="H68" s="27" t="s">
        <v>10</v>
      </c>
    </row>
    <row r="69" spans="1:8" ht="15.5" x14ac:dyDescent="0.35">
      <c r="A69" s="23">
        <v>65</v>
      </c>
      <c r="B69" s="17" t="s">
        <v>152</v>
      </c>
      <c r="C69" s="17" t="s">
        <v>153</v>
      </c>
      <c r="D69" s="23" t="s">
        <v>10</v>
      </c>
      <c r="E69" s="23" t="s">
        <v>4</v>
      </c>
      <c r="F69" s="23" t="s">
        <v>4</v>
      </c>
      <c r="G69" s="27" t="s">
        <v>4</v>
      </c>
      <c r="H69" s="27" t="s">
        <v>10</v>
      </c>
    </row>
    <row r="70" spans="1:8" ht="15.5" x14ac:dyDescent="0.35">
      <c r="A70" s="23">
        <v>66</v>
      </c>
      <c r="B70" s="17" t="s">
        <v>154</v>
      </c>
      <c r="C70" s="17" t="s">
        <v>155</v>
      </c>
      <c r="D70" s="23" t="s">
        <v>4</v>
      </c>
      <c r="E70" s="23" t="s">
        <v>4</v>
      </c>
      <c r="F70" s="23" t="s">
        <v>4</v>
      </c>
      <c r="G70" s="28" t="s">
        <v>4</v>
      </c>
      <c r="H70" s="28" t="s">
        <v>4</v>
      </c>
    </row>
    <row r="71" spans="1:8" ht="15.5" x14ac:dyDescent="0.35">
      <c r="A71" s="23">
        <v>67</v>
      </c>
      <c r="B71" s="17" t="s">
        <v>156</v>
      </c>
      <c r="C71" s="17" t="s">
        <v>157</v>
      </c>
      <c r="D71" s="23" t="s">
        <v>4</v>
      </c>
      <c r="E71" s="23" t="s">
        <v>10</v>
      </c>
      <c r="F71" s="23" t="s">
        <v>10</v>
      </c>
      <c r="G71" s="27" t="s">
        <v>10</v>
      </c>
      <c r="H71" s="27" t="s">
        <v>10</v>
      </c>
    </row>
    <row r="72" spans="1:8" ht="15.5" x14ac:dyDescent="0.35">
      <c r="A72" s="23">
        <v>68</v>
      </c>
      <c r="B72" s="17" t="s">
        <v>158</v>
      </c>
      <c r="C72" s="17" t="s">
        <v>159</v>
      </c>
      <c r="D72" s="23" t="s">
        <v>10</v>
      </c>
      <c r="E72" s="23" t="s">
        <v>10</v>
      </c>
      <c r="F72" s="23" t="s">
        <v>10</v>
      </c>
      <c r="G72" s="27" t="s">
        <v>10</v>
      </c>
      <c r="H72" s="27" t="s">
        <v>10</v>
      </c>
    </row>
    <row r="73" spans="1:8" ht="15.5" x14ac:dyDescent="0.35">
      <c r="A73" s="23">
        <v>69</v>
      </c>
      <c r="B73" s="17" t="s">
        <v>160</v>
      </c>
      <c r="C73" s="17" t="s">
        <v>161</v>
      </c>
      <c r="D73" s="23" t="s">
        <v>4</v>
      </c>
      <c r="E73" s="23" t="s">
        <v>4</v>
      </c>
      <c r="F73" s="23" t="s">
        <v>4</v>
      </c>
      <c r="G73" s="28" t="s">
        <v>4</v>
      </c>
      <c r="H73" s="28" t="s">
        <v>4</v>
      </c>
    </row>
    <row r="74" spans="1:8" ht="15.5" x14ac:dyDescent="0.35">
      <c r="A74" s="23">
        <v>70</v>
      </c>
      <c r="B74" s="17" t="s">
        <v>162</v>
      </c>
      <c r="C74" s="17" t="s">
        <v>163</v>
      </c>
      <c r="D74" s="23" t="s">
        <v>4</v>
      </c>
      <c r="E74" s="23" t="s">
        <v>10</v>
      </c>
      <c r="F74" s="23"/>
      <c r="G74" s="28"/>
      <c r="H74" s="27" t="s">
        <v>10</v>
      </c>
    </row>
    <row r="75" spans="1:8" ht="15.5" x14ac:dyDescent="0.35">
      <c r="A75" s="23">
        <v>71</v>
      </c>
      <c r="B75" s="17" t="s">
        <v>164</v>
      </c>
      <c r="C75" s="17" t="s">
        <v>165</v>
      </c>
      <c r="D75" s="23" t="s">
        <v>4</v>
      </c>
      <c r="E75" s="23" t="s">
        <v>4</v>
      </c>
      <c r="F75" s="23" t="s">
        <v>4</v>
      </c>
      <c r="G75" s="28" t="s">
        <v>4</v>
      </c>
      <c r="H75" s="28" t="s">
        <v>4</v>
      </c>
    </row>
    <row r="76" spans="1:8" ht="15.5" x14ac:dyDescent="0.35">
      <c r="A76" s="23">
        <v>72</v>
      </c>
      <c r="B76" s="17" t="s">
        <v>166</v>
      </c>
      <c r="C76" s="17" t="s">
        <v>167</v>
      </c>
      <c r="D76" s="23" t="s">
        <v>4</v>
      </c>
      <c r="E76" s="23" t="s">
        <v>4</v>
      </c>
      <c r="F76" s="23" t="s">
        <v>4</v>
      </c>
      <c r="G76" s="24" t="s">
        <v>4</v>
      </c>
      <c r="H76" s="24" t="s">
        <v>4</v>
      </c>
    </row>
    <row r="77" spans="1:8" ht="15.5" x14ac:dyDescent="0.35">
      <c r="A77" s="23">
        <v>73</v>
      </c>
      <c r="B77" s="17" t="s">
        <v>168</v>
      </c>
      <c r="C77" s="17" t="s">
        <v>169</v>
      </c>
      <c r="D77" s="23" t="s">
        <v>4</v>
      </c>
      <c r="E77" s="23" t="s">
        <v>10</v>
      </c>
      <c r="F77" s="23" t="s">
        <v>4</v>
      </c>
      <c r="G77" s="27" t="s">
        <v>4</v>
      </c>
      <c r="H77" s="27" t="s">
        <v>10</v>
      </c>
    </row>
    <row r="78" spans="1:8" ht="15.5" x14ac:dyDescent="0.35">
      <c r="A78" s="23">
        <v>74</v>
      </c>
      <c r="B78" s="17" t="s">
        <v>170</v>
      </c>
      <c r="C78" s="17" t="s">
        <v>245</v>
      </c>
      <c r="D78" s="23" t="s">
        <v>4</v>
      </c>
      <c r="E78" s="23" t="s">
        <v>4</v>
      </c>
      <c r="F78" s="23" t="s">
        <v>4</v>
      </c>
      <c r="G78" s="24" t="s">
        <v>4</v>
      </c>
      <c r="H78" s="24" t="s">
        <v>4</v>
      </c>
    </row>
    <row r="79" spans="1:8" ht="15.5" x14ac:dyDescent="0.35">
      <c r="A79" s="23">
        <v>75</v>
      </c>
      <c r="B79" s="17" t="s">
        <v>172</v>
      </c>
      <c r="C79" s="17" t="s">
        <v>173</v>
      </c>
      <c r="D79" s="23" t="s">
        <v>4</v>
      </c>
      <c r="E79" s="23" t="s">
        <v>4</v>
      </c>
      <c r="F79" s="23" t="s">
        <v>4</v>
      </c>
      <c r="G79" s="28" t="s">
        <v>4</v>
      </c>
      <c r="H79" s="28" t="s">
        <v>4</v>
      </c>
    </row>
    <row r="80" spans="1:8" ht="15.5" x14ac:dyDescent="0.35">
      <c r="A80" s="23">
        <v>76</v>
      </c>
      <c r="B80" s="17" t="s">
        <v>174</v>
      </c>
      <c r="C80" s="17" t="s">
        <v>175</v>
      </c>
      <c r="D80" s="23" t="s">
        <v>4</v>
      </c>
      <c r="E80" s="23" t="s">
        <v>4</v>
      </c>
      <c r="F80" s="23" t="s">
        <v>4</v>
      </c>
      <c r="G80" s="28" t="s">
        <v>4</v>
      </c>
      <c r="H80" s="28" t="s">
        <v>4</v>
      </c>
    </row>
    <row r="81" spans="1:8" ht="15.5" x14ac:dyDescent="0.35">
      <c r="A81" s="23">
        <v>77</v>
      </c>
      <c r="B81" s="17" t="s">
        <v>176</v>
      </c>
      <c r="C81" s="17" t="s">
        <v>177</v>
      </c>
      <c r="D81" s="23" t="s">
        <v>4</v>
      </c>
      <c r="E81" s="23" t="s">
        <v>4</v>
      </c>
      <c r="F81" s="23" t="s">
        <v>4</v>
      </c>
      <c r="G81" s="28" t="s">
        <v>4</v>
      </c>
      <c r="H81" s="28" t="s">
        <v>4</v>
      </c>
    </row>
    <row r="82" spans="1:8" ht="15.5" x14ac:dyDescent="0.35">
      <c r="A82" s="23">
        <v>78</v>
      </c>
      <c r="B82" s="17" t="s">
        <v>178</v>
      </c>
      <c r="C82" s="17" t="s">
        <v>179</v>
      </c>
      <c r="D82" s="23" t="s">
        <v>4</v>
      </c>
      <c r="E82" s="23" t="s">
        <v>10</v>
      </c>
      <c r="F82" s="23"/>
      <c r="G82" s="28"/>
      <c r="H82" s="28"/>
    </row>
    <row r="83" spans="1:8" ht="15.5" x14ac:dyDescent="0.35">
      <c r="A83" s="23">
        <v>79</v>
      </c>
      <c r="B83" s="17" t="s">
        <v>180</v>
      </c>
      <c r="C83" s="17" t="s">
        <v>181</v>
      </c>
      <c r="D83" s="23" t="s">
        <v>4</v>
      </c>
      <c r="E83" s="23" t="s">
        <v>4</v>
      </c>
      <c r="F83" s="23" t="s">
        <v>4</v>
      </c>
      <c r="G83" s="27" t="s">
        <v>10</v>
      </c>
      <c r="H83" s="27"/>
    </row>
    <row r="84" spans="1:8" ht="15.5" x14ac:dyDescent="0.35">
      <c r="A84" s="23">
        <v>80</v>
      </c>
      <c r="B84" s="17" t="s">
        <v>182</v>
      </c>
      <c r="C84" s="17" t="s">
        <v>183</v>
      </c>
      <c r="D84" s="23" t="s">
        <v>4</v>
      </c>
      <c r="E84" s="23" t="s">
        <v>4</v>
      </c>
      <c r="F84" s="23" t="s">
        <v>10</v>
      </c>
      <c r="G84" s="27" t="s">
        <v>4</v>
      </c>
      <c r="H84" s="27"/>
    </row>
    <row r="85" spans="1:8" ht="15.5" x14ac:dyDescent="0.35">
      <c r="A85" s="23">
        <v>81</v>
      </c>
      <c r="B85" s="17" t="s">
        <v>184</v>
      </c>
      <c r="C85" s="17" t="s">
        <v>246</v>
      </c>
      <c r="D85" s="23" t="s">
        <v>4</v>
      </c>
      <c r="E85" s="23" t="s">
        <v>4</v>
      </c>
      <c r="F85" s="23" t="s">
        <v>4</v>
      </c>
      <c r="G85" s="28" t="s">
        <v>4</v>
      </c>
      <c r="H85" s="28" t="s">
        <v>4</v>
      </c>
    </row>
    <row r="86" spans="1:8" ht="15.5" x14ac:dyDescent="0.35">
      <c r="A86" s="23">
        <v>82</v>
      </c>
      <c r="B86" s="17" t="s">
        <v>186</v>
      </c>
      <c r="C86" s="17" t="s">
        <v>187</v>
      </c>
      <c r="D86" s="23" t="s">
        <v>4</v>
      </c>
      <c r="E86" s="23" t="s">
        <v>10</v>
      </c>
      <c r="F86" s="23"/>
      <c r="G86" s="27"/>
      <c r="H86" s="27"/>
    </row>
    <row r="87" spans="1:8" ht="15.5" x14ac:dyDescent="0.35">
      <c r="A87" s="23">
        <v>83</v>
      </c>
      <c r="B87" s="17" t="s">
        <v>188</v>
      </c>
      <c r="C87" s="17" t="s">
        <v>189</v>
      </c>
      <c r="D87" s="23" t="s">
        <v>4</v>
      </c>
      <c r="E87" s="23" t="s">
        <v>4</v>
      </c>
      <c r="F87" s="23" t="s">
        <v>4</v>
      </c>
      <c r="G87" s="28" t="s">
        <v>4</v>
      </c>
      <c r="H87" s="28" t="s">
        <v>4</v>
      </c>
    </row>
    <row r="88" spans="1:8" ht="15.5" x14ac:dyDescent="0.35">
      <c r="A88" s="23">
        <v>84</v>
      </c>
      <c r="B88" s="17" t="s">
        <v>190</v>
      </c>
      <c r="C88" s="17" t="s">
        <v>191</v>
      </c>
      <c r="D88" s="23" t="s">
        <v>4</v>
      </c>
      <c r="E88" s="23" t="s">
        <v>4</v>
      </c>
      <c r="F88" s="23" t="s">
        <v>4</v>
      </c>
      <c r="G88" s="28" t="s">
        <v>4</v>
      </c>
      <c r="H88" s="28" t="s">
        <v>4</v>
      </c>
    </row>
    <row r="89" spans="1:8" ht="15.5" x14ac:dyDescent="0.35">
      <c r="A89" s="23">
        <v>85</v>
      </c>
      <c r="B89" s="17" t="s">
        <v>192</v>
      </c>
      <c r="C89" s="17" t="s">
        <v>247</v>
      </c>
      <c r="D89" s="23" t="s">
        <v>4</v>
      </c>
      <c r="E89" s="23" t="s">
        <v>4</v>
      </c>
      <c r="F89" s="23" t="s">
        <v>4</v>
      </c>
      <c r="G89" s="27" t="s">
        <v>10</v>
      </c>
      <c r="H89" s="27" t="s">
        <v>10</v>
      </c>
    </row>
    <row r="90" spans="1:8" ht="15.5" x14ac:dyDescent="0.35">
      <c r="A90" s="23">
        <v>86</v>
      </c>
      <c r="B90" s="17" t="s">
        <v>194</v>
      </c>
      <c r="C90" s="17" t="s">
        <v>195</v>
      </c>
      <c r="D90" s="23" t="s">
        <v>4</v>
      </c>
      <c r="E90" s="23" t="s">
        <v>4</v>
      </c>
      <c r="F90" s="23" t="s">
        <v>10</v>
      </c>
      <c r="G90" s="27" t="s">
        <v>4</v>
      </c>
      <c r="H90" s="27" t="s">
        <v>10</v>
      </c>
    </row>
    <row r="91" spans="1:8" ht="15.5" x14ac:dyDescent="0.35">
      <c r="A91" s="23">
        <v>87</v>
      </c>
      <c r="B91" s="17" t="s">
        <v>196</v>
      </c>
      <c r="C91" s="17" t="s">
        <v>197</v>
      </c>
      <c r="D91" s="23" t="s">
        <v>4</v>
      </c>
      <c r="E91" s="23" t="s">
        <v>10</v>
      </c>
      <c r="F91" s="23" t="s">
        <v>4</v>
      </c>
      <c r="G91" s="27" t="s">
        <v>10</v>
      </c>
      <c r="H91" s="27"/>
    </row>
    <row r="92" spans="1:8" ht="15.5" x14ac:dyDescent="0.35">
      <c r="A92" s="23">
        <v>88</v>
      </c>
      <c r="B92" s="17" t="s">
        <v>198</v>
      </c>
      <c r="C92" s="17" t="s">
        <v>199</v>
      </c>
      <c r="D92" s="23" t="s">
        <v>4</v>
      </c>
      <c r="E92" s="23" t="s">
        <v>4</v>
      </c>
      <c r="F92" s="23" t="s">
        <v>4</v>
      </c>
      <c r="G92" s="28" t="s">
        <v>4</v>
      </c>
      <c r="H92" s="28" t="s">
        <v>4</v>
      </c>
    </row>
    <row r="93" spans="1:8" ht="15.5" x14ac:dyDescent="0.35">
      <c r="A93" s="23">
        <v>89</v>
      </c>
      <c r="B93" s="17" t="s">
        <v>200</v>
      </c>
      <c r="C93" s="17" t="s">
        <v>201</v>
      </c>
      <c r="D93" s="23" t="s">
        <v>4</v>
      </c>
      <c r="E93" s="23" t="s">
        <v>4</v>
      </c>
      <c r="F93" s="23" t="s">
        <v>4</v>
      </c>
      <c r="G93" s="28" t="s">
        <v>4</v>
      </c>
      <c r="H93" s="28" t="s">
        <v>4</v>
      </c>
    </row>
    <row r="94" spans="1:8" ht="15.5" x14ac:dyDescent="0.35">
      <c r="A94" s="23">
        <v>90</v>
      </c>
      <c r="B94" s="17" t="s">
        <v>202</v>
      </c>
      <c r="C94" s="17" t="s">
        <v>203</v>
      </c>
      <c r="D94" s="23"/>
      <c r="E94" s="23"/>
      <c r="F94" s="23" t="s">
        <v>10</v>
      </c>
      <c r="G94" s="27" t="s">
        <v>4</v>
      </c>
      <c r="H94" s="28"/>
    </row>
    <row r="95" spans="1:8" ht="15.5" x14ac:dyDescent="0.35">
      <c r="A95" s="23">
        <v>91</v>
      </c>
      <c r="B95" s="17" t="s">
        <v>204</v>
      </c>
      <c r="C95" s="17" t="s">
        <v>205</v>
      </c>
      <c r="D95" s="23" t="s">
        <v>4</v>
      </c>
      <c r="E95" s="23" t="s">
        <v>4</v>
      </c>
      <c r="F95" s="23" t="s">
        <v>10</v>
      </c>
      <c r="G95" s="27" t="s">
        <v>10</v>
      </c>
      <c r="H95" s="27" t="s">
        <v>10</v>
      </c>
    </row>
    <row r="96" spans="1:8" ht="15.5" x14ac:dyDescent="0.35">
      <c r="A96" s="23">
        <v>92</v>
      </c>
      <c r="B96" s="17" t="s">
        <v>206</v>
      </c>
      <c r="C96" s="17" t="s">
        <v>207</v>
      </c>
      <c r="D96" s="23" t="s">
        <v>4</v>
      </c>
      <c r="E96" s="23" t="s">
        <v>4</v>
      </c>
      <c r="F96" s="23" t="s">
        <v>4</v>
      </c>
      <c r="G96" s="28" t="s">
        <v>4</v>
      </c>
      <c r="H96" s="28" t="s">
        <v>4</v>
      </c>
    </row>
    <row r="97" spans="1:8" ht="15.5" x14ac:dyDescent="0.35">
      <c r="A97" s="23">
        <v>93</v>
      </c>
      <c r="B97" s="17" t="s">
        <v>208</v>
      </c>
      <c r="C97" s="17" t="s">
        <v>209</v>
      </c>
      <c r="D97" s="23" t="s">
        <v>4</v>
      </c>
      <c r="E97" s="23" t="s">
        <v>4</v>
      </c>
      <c r="F97" s="23" t="s">
        <v>4</v>
      </c>
      <c r="G97" s="28" t="s">
        <v>4</v>
      </c>
      <c r="H97" s="28" t="s">
        <v>4</v>
      </c>
    </row>
    <row r="98" spans="1:8" ht="15.5" x14ac:dyDescent="0.35">
      <c r="A98" s="23">
        <v>94</v>
      </c>
      <c r="B98" s="17" t="s">
        <v>210</v>
      </c>
      <c r="C98" s="17" t="s">
        <v>211</v>
      </c>
      <c r="D98" s="23" t="s">
        <v>4</v>
      </c>
      <c r="E98" s="23" t="s">
        <v>4</v>
      </c>
      <c r="F98" s="23" t="s">
        <v>10</v>
      </c>
      <c r="G98" s="28" t="s">
        <v>10</v>
      </c>
      <c r="H98" s="28"/>
    </row>
    <row r="99" spans="1:8" ht="15.5" x14ac:dyDescent="0.35">
      <c r="A99" s="23">
        <v>95</v>
      </c>
      <c r="B99" s="17" t="s">
        <v>212</v>
      </c>
      <c r="C99" s="17" t="s">
        <v>213</v>
      </c>
      <c r="D99" s="23" t="s">
        <v>10</v>
      </c>
      <c r="E99" s="23" t="s">
        <v>10</v>
      </c>
      <c r="F99" s="23" t="s">
        <v>4</v>
      </c>
      <c r="G99" s="27" t="s">
        <v>4</v>
      </c>
      <c r="H99" s="27" t="s">
        <v>10</v>
      </c>
    </row>
    <row r="100" spans="1:8" ht="15.5" x14ac:dyDescent="0.35">
      <c r="A100" s="23">
        <v>96</v>
      </c>
      <c r="B100" s="17" t="s">
        <v>214</v>
      </c>
      <c r="C100" s="17" t="s">
        <v>215</v>
      </c>
      <c r="D100" s="23" t="s">
        <v>10</v>
      </c>
      <c r="E100" s="23" t="s">
        <v>10</v>
      </c>
      <c r="F100" s="23"/>
      <c r="G100" s="28"/>
      <c r="H100" s="28"/>
    </row>
    <row r="101" spans="1:8" ht="15.5" x14ac:dyDescent="0.35">
      <c r="A101" s="23">
        <v>97</v>
      </c>
      <c r="B101" s="17" t="s">
        <v>216</v>
      </c>
      <c r="C101" s="17" t="s">
        <v>217</v>
      </c>
      <c r="D101" s="23" t="s">
        <v>10</v>
      </c>
      <c r="E101" s="23" t="s">
        <v>4</v>
      </c>
      <c r="F101" s="23"/>
      <c r="G101" s="27"/>
      <c r="H101" s="27"/>
    </row>
    <row r="102" spans="1:8" ht="15.5" x14ac:dyDescent="0.35">
      <c r="A102" s="23">
        <v>98</v>
      </c>
      <c r="B102" s="17" t="s">
        <v>218</v>
      </c>
      <c r="C102" s="17" t="s">
        <v>219</v>
      </c>
      <c r="D102" s="23" t="s">
        <v>4</v>
      </c>
      <c r="E102" s="23" t="s">
        <v>4</v>
      </c>
      <c r="F102" s="23" t="s">
        <v>4</v>
      </c>
      <c r="G102" s="28" t="s">
        <v>4</v>
      </c>
      <c r="H102" s="28" t="s">
        <v>4</v>
      </c>
    </row>
    <row r="103" spans="1:8" ht="15.5" x14ac:dyDescent="0.35">
      <c r="A103" s="23">
        <v>99</v>
      </c>
      <c r="B103" s="17" t="s">
        <v>220</v>
      </c>
      <c r="C103" s="17" t="s">
        <v>221</v>
      </c>
      <c r="D103" s="23" t="s">
        <v>4</v>
      </c>
      <c r="E103" s="23" t="s">
        <v>4</v>
      </c>
      <c r="F103" s="23" t="s">
        <v>4</v>
      </c>
      <c r="G103" s="28" t="s">
        <v>4</v>
      </c>
      <c r="H103" s="28" t="s">
        <v>4</v>
      </c>
    </row>
    <row r="104" spans="1:8" ht="15.5" x14ac:dyDescent="0.35">
      <c r="A104" s="23">
        <v>100</v>
      </c>
      <c r="B104" s="17" t="s">
        <v>222</v>
      </c>
      <c r="C104" s="17" t="s">
        <v>223</v>
      </c>
      <c r="D104" s="23" t="s">
        <v>4</v>
      </c>
      <c r="E104" s="23" t="s">
        <v>4</v>
      </c>
      <c r="F104" s="23" t="s">
        <v>4</v>
      </c>
      <c r="G104" s="28" t="s">
        <v>4</v>
      </c>
      <c r="H104" s="28" t="s">
        <v>4</v>
      </c>
    </row>
    <row r="105" spans="1:8" ht="15.5" x14ac:dyDescent="0.35">
      <c r="A105" s="23">
        <v>101</v>
      </c>
      <c r="B105" s="17" t="s">
        <v>224</v>
      </c>
      <c r="C105" s="17" t="s">
        <v>225</v>
      </c>
      <c r="D105" s="23" t="s">
        <v>4</v>
      </c>
      <c r="E105" s="23" t="s">
        <v>4</v>
      </c>
      <c r="F105" s="23" t="s">
        <v>4</v>
      </c>
      <c r="G105" s="28" t="s">
        <v>4</v>
      </c>
      <c r="H105" s="28" t="s">
        <v>4</v>
      </c>
    </row>
    <row r="106" spans="1:8" ht="15.5" x14ac:dyDescent="0.35">
      <c r="A106" s="23">
        <v>102</v>
      </c>
      <c r="B106" s="17" t="s">
        <v>226</v>
      </c>
      <c r="C106" s="17" t="s">
        <v>227</v>
      </c>
      <c r="D106" s="23" t="s">
        <v>4</v>
      </c>
      <c r="E106" s="23" t="s">
        <v>4</v>
      </c>
      <c r="F106" s="23" t="s">
        <v>4</v>
      </c>
      <c r="G106" s="28" t="s">
        <v>4</v>
      </c>
      <c r="H106" s="28" t="s">
        <v>4</v>
      </c>
    </row>
    <row r="107" spans="1:8" ht="15.5" x14ac:dyDescent="0.35">
      <c r="A107" s="23">
        <v>103</v>
      </c>
      <c r="B107" s="17" t="s">
        <v>228</v>
      </c>
      <c r="C107" s="17" t="s">
        <v>229</v>
      </c>
      <c r="D107" s="23" t="s">
        <v>4</v>
      </c>
      <c r="E107" s="23" t="s">
        <v>4</v>
      </c>
      <c r="F107" s="23" t="s">
        <v>4</v>
      </c>
      <c r="G107" s="28" t="s">
        <v>4</v>
      </c>
      <c r="H107" s="28" t="s">
        <v>4</v>
      </c>
    </row>
    <row r="108" spans="1:8" ht="15.5" x14ac:dyDescent="0.35">
      <c r="A108" s="23">
        <v>104</v>
      </c>
      <c r="B108" s="17" t="s">
        <v>230</v>
      </c>
      <c r="C108" s="17" t="s">
        <v>231</v>
      </c>
      <c r="D108" s="23" t="s">
        <v>4</v>
      </c>
      <c r="E108" s="23" t="s">
        <v>4</v>
      </c>
      <c r="F108" s="23" t="s">
        <v>4</v>
      </c>
      <c r="G108" s="28" t="s">
        <v>4</v>
      </c>
      <c r="H108" s="28" t="s">
        <v>4</v>
      </c>
    </row>
    <row r="109" spans="1:8" ht="15.5" x14ac:dyDescent="0.35">
      <c r="A109" s="23">
        <v>105</v>
      </c>
      <c r="B109" s="17" t="s">
        <v>232</v>
      </c>
      <c r="C109" s="17" t="s">
        <v>233</v>
      </c>
      <c r="D109" s="23" t="s">
        <v>4</v>
      </c>
      <c r="E109" s="23" t="s">
        <v>4</v>
      </c>
      <c r="F109" s="23" t="s">
        <v>4</v>
      </c>
      <c r="G109" s="28" t="s">
        <v>4</v>
      </c>
      <c r="H109" s="28" t="s">
        <v>4</v>
      </c>
    </row>
    <row r="110" spans="1:8" x14ac:dyDescent="0.35">
      <c r="A110" s="23"/>
      <c r="B110" s="10"/>
      <c r="C110" s="10"/>
      <c r="D110" s="23"/>
      <c r="E110" s="23"/>
      <c r="F110" s="23"/>
      <c r="G110" s="27"/>
    </row>
    <row r="111" spans="1:8" x14ac:dyDescent="0.35">
      <c r="A111" s="23"/>
      <c r="B111" s="10"/>
      <c r="C111" s="10"/>
      <c r="D111" s="23"/>
      <c r="E111" s="23"/>
      <c r="F111" s="23"/>
      <c r="G111" s="27"/>
    </row>
    <row r="112" spans="1:8" x14ac:dyDescent="0.35">
      <c r="A112" s="23"/>
      <c r="B112" s="10"/>
      <c r="C112" s="10"/>
      <c r="D112" s="23"/>
      <c r="E112" s="23"/>
      <c r="F112" s="23"/>
      <c r="G112" s="27"/>
    </row>
    <row r="113" spans="1:7" x14ac:dyDescent="0.35">
      <c r="A113" s="23"/>
      <c r="B113" s="10"/>
      <c r="C113" s="10"/>
      <c r="D113" s="23"/>
      <c r="E113" s="23"/>
      <c r="F113" s="23"/>
      <c r="G113" s="28"/>
    </row>
    <row r="114" spans="1:7" x14ac:dyDescent="0.35">
      <c r="A114" s="23"/>
      <c r="B114" s="10"/>
      <c r="C114" s="10"/>
      <c r="D114" s="23"/>
      <c r="E114" s="23"/>
      <c r="F114" s="23"/>
      <c r="G114" s="27"/>
    </row>
    <row r="115" spans="1:7" x14ac:dyDescent="0.35">
      <c r="A115" s="23"/>
      <c r="B115" s="10"/>
      <c r="C115" s="10"/>
      <c r="D115" s="23"/>
      <c r="E115" s="23"/>
      <c r="F115" s="23"/>
      <c r="G115" s="27"/>
    </row>
    <row r="116" spans="1:7" x14ac:dyDescent="0.35">
      <c r="A116" s="23"/>
      <c r="B116" s="10"/>
      <c r="C116" s="10"/>
      <c r="D116" s="23"/>
      <c r="E116" s="23"/>
      <c r="F116" s="23"/>
      <c r="G116" s="27"/>
    </row>
    <row r="117" spans="1:7" x14ac:dyDescent="0.35">
      <c r="A117" s="23"/>
      <c r="B117" s="10"/>
      <c r="C117" s="10"/>
      <c r="D117" s="23"/>
      <c r="E117" s="23"/>
      <c r="F117" s="23"/>
      <c r="G117" s="27"/>
    </row>
    <row r="118" spans="1:7" x14ac:dyDescent="0.35">
      <c r="A118" s="23"/>
      <c r="B118" s="10"/>
      <c r="C118" s="10"/>
      <c r="D118" s="23"/>
      <c r="E118" s="23"/>
      <c r="F118" s="23"/>
      <c r="G118" s="27"/>
    </row>
    <row r="119" spans="1:7" x14ac:dyDescent="0.35">
      <c r="A119" s="23"/>
      <c r="B119" s="10"/>
      <c r="C119" s="10"/>
      <c r="D119" s="23"/>
      <c r="E119" s="23"/>
      <c r="F119" s="23"/>
      <c r="G119" s="28"/>
    </row>
    <row r="120" spans="1:7" x14ac:dyDescent="0.35">
      <c r="A120" s="23"/>
      <c r="B120" s="10"/>
      <c r="C120" s="10"/>
      <c r="D120" s="23"/>
      <c r="E120" s="23"/>
      <c r="F120" s="23"/>
      <c r="G120" s="27"/>
    </row>
    <row r="121" spans="1:7" x14ac:dyDescent="0.35">
      <c r="A121" s="23"/>
      <c r="B121" s="10"/>
      <c r="C121" s="10"/>
      <c r="D121" s="23"/>
      <c r="E121" s="23"/>
      <c r="F121" s="23"/>
      <c r="G121" s="28"/>
    </row>
    <row r="122" spans="1:7" x14ac:dyDescent="0.35">
      <c r="A122" s="23"/>
      <c r="B122" s="10"/>
      <c r="C122" s="10"/>
      <c r="D122" s="23"/>
      <c r="E122" s="23"/>
      <c r="F122" s="23"/>
      <c r="G122" s="28"/>
    </row>
    <row r="123" spans="1:7" x14ac:dyDescent="0.35">
      <c r="A123" s="23"/>
      <c r="B123" s="10"/>
      <c r="C123" s="10"/>
      <c r="D123" s="23"/>
      <c r="E123" s="23"/>
      <c r="F123" s="23"/>
      <c r="G123" s="27"/>
    </row>
    <row r="124" spans="1:7" x14ac:dyDescent="0.35">
      <c r="A124" s="23"/>
      <c r="B124" s="10"/>
      <c r="C124" s="10"/>
      <c r="D124" s="23"/>
      <c r="E124" s="23"/>
      <c r="F124" s="23"/>
      <c r="G124" s="27"/>
    </row>
    <row r="125" spans="1:7" x14ac:dyDescent="0.35">
      <c r="A125" s="23"/>
      <c r="B125" s="10"/>
      <c r="C125" s="10"/>
      <c r="D125" s="23"/>
      <c r="E125" s="23"/>
      <c r="F125" s="23"/>
      <c r="G125" s="28"/>
    </row>
    <row r="126" spans="1:7" x14ac:dyDescent="0.35">
      <c r="A126" s="23"/>
      <c r="B126" s="10"/>
      <c r="C126" s="10"/>
      <c r="D126" s="23"/>
      <c r="E126" s="23"/>
      <c r="F126" s="23"/>
      <c r="G126" s="28"/>
    </row>
    <row r="127" spans="1:7" x14ac:dyDescent="0.35">
      <c r="A127" s="23"/>
      <c r="B127" s="10"/>
      <c r="C127" s="10"/>
      <c r="D127" s="23"/>
      <c r="E127" s="23"/>
      <c r="F127" s="23"/>
      <c r="G127" s="27"/>
    </row>
    <row r="128" spans="1:7" x14ac:dyDescent="0.35">
      <c r="A128" s="23"/>
      <c r="B128" s="10"/>
      <c r="C128" s="10"/>
      <c r="D128" s="23"/>
      <c r="E128" s="23"/>
      <c r="F128" s="23"/>
      <c r="G128" s="28"/>
    </row>
    <row r="129" spans="1:7" x14ac:dyDescent="0.35">
      <c r="A129" s="23"/>
      <c r="B129" s="10"/>
      <c r="C129" s="10"/>
      <c r="D129" s="23"/>
      <c r="E129" s="23"/>
      <c r="F129" s="23"/>
      <c r="G129" s="28"/>
    </row>
    <row r="130" spans="1:7" x14ac:dyDescent="0.35">
      <c r="A130" s="23"/>
      <c r="B130" s="10"/>
      <c r="C130" s="10"/>
      <c r="D130" s="23"/>
      <c r="E130" s="23"/>
      <c r="F130" s="23"/>
      <c r="G130" s="27"/>
    </row>
    <row r="131" spans="1:7" x14ac:dyDescent="0.35">
      <c r="A131" s="23"/>
      <c r="B131" s="10"/>
      <c r="C131" s="10"/>
      <c r="D131" s="23"/>
      <c r="E131" s="23"/>
      <c r="F131" s="23"/>
      <c r="G131" s="28"/>
    </row>
    <row r="132" spans="1:7" ht="15" thickBot="1" x14ac:dyDescent="0.4">
      <c r="A132" s="29"/>
      <c r="B132" s="19"/>
      <c r="C132" s="19"/>
      <c r="D132" s="29"/>
      <c r="E132" s="29"/>
      <c r="F132" s="29"/>
      <c r="G132" s="30"/>
    </row>
    <row r="133" spans="1:7" ht="15" thickBot="1" x14ac:dyDescent="0.4">
      <c r="A133" s="31"/>
      <c r="B133" s="31"/>
      <c r="C133" s="31"/>
      <c r="D133" s="31"/>
      <c r="E133" s="31"/>
      <c r="F133" s="31"/>
      <c r="G133" s="32"/>
    </row>
  </sheetData>
  <mergeCells count="6">
    <mergeCell ref="H3:H4"/>
    <mergeCell ref="D3:G3"/>
    <mergeCell ref="A1:G2"/>
    <mergeCell ref="A3:A4"/>
    <mergeCell ref="B3:B4"/>
    <mergeCell ref="C3:C4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5"/>
  <sheetViews>
    <sheetView topLeftCell="A231" zoomScaleNormal="100" workbookViewId="0">
      <selection activeCell="G249" sqref="G249"/>
    </sheetView>
  </sheetViews>
  <sheetFormatPr defaultRowHeight="14.5" x14ac:dyDescent="0.35"/>
  <cols>
    <col min="1" max="1" width="9.1796875" style="2"/>
    <col min="2" max="2" width="17.26953125" customWidth="1"/>
    <col min="3" max="3" width="39.1796875" customWidth="1"/>
    <col min="4" max="4" width="13.81640625" customWidth="1"/>
    <col min="5" max="5" width="18.54296875" customWidth="1"/>
    <col min="6" max="6" width="20.453125" customWidth="1"/>
    <col min="7" max="7" width="10.7265625" bestFit="1" customWidth="1"/>
  </cols>
  <sheetData>
    <row r="1" spans="1:7" ht="29" x14ac:dyDescent="0.35">
      <c r="A1" s="5" t="s">
        <v>0</v>
      </c>
      <c r="B1" s="5" t="s">
        <v>1</v>
      </c>
      <c r="C1" s="5" t="s">
        <v>2</v>
      </c>
      <c r="D1" s="5" t="s">
        <v>6</v>
      </c>
      <c r="E1" s="8" t="s">
        <v>22</v>
      </c>
      <c r="F1" s="8" t="s">
        <v>17</v>
      </c>
      <c r="G1" s="5" t="s">
        <v>18</v>
      </c>
    </row>
    <row r="2" spans="1:7" ht="15.5" x14ac:dyDescent="0.35">
      <c r="A2" s="4">
        <v>1</v>
      </c>
      <c r="B2" s="17" t="s">
        <v>26</v>
      </c>
      <c r="C2" s="18" t="s">
        <v>239</v>
      </c>
      <c r="D2" s="4">
        <v>2019</v>
      </c>
      <c r="E2" s="12">
        <v>43860</v>
      </c>
      <c r="F2" s="11">
        <v>43830</v>
      </c>
      <c r="G2" s="1">
        <f>30</f>
        <v>30</v>
      </c>
    </row>
    <row r="3" spans="1:7" ht="15.5" x14ac:dyDescent="0.35">
      <c r="A3" s="4">
        <v>2</v>
      </c>
      <c r="B3" s="17" t="s">
        <v>29</v>
      </c>
      <c r="C3" s="17" t="s">
        <v>30</v>
      </c>
      <c r="D3" s="4">
        <v>2019</v>
      </c>
      <c r="E3" s="12">
        <v>43886</v>
      </c>
      <c r="F3" s="11">
        <v>43830</v>
      </c>
      <c r="G3" s="1">
        <f>31+25</f>
        <v>56</v>
      </c>
    </row>
    <row r="4" spans="1:7" ht="15.5" x14ac:dyDescent="0.35">
      <c r="A4" s="4">
        <v>3</v>
      </c>
      <c r="B4" s="17" t="s">
        <v>31</v>
      </c>
      <c r="C4" s="17" t="s">
        <v>32</v>
      </c>
      <c r="D4" s="4">
        <v>2019</v>
      </c>
      <c r="E4" s="12">
        <v>43942</v>
      </c>
      <c r="F4" s="11">
        <v>43830</v>
      </c>
      <c r="G4" s="1">
        <f>31+29+31+21</f>
        <v>112</v>
      </c>
    </row>
    <row r="5" spans="1:7" ht="15.5" x14ac:dyDescent="0.35">
      <c r="A5" s="4">
        <v>4</v>
      </c>
      <c r="B5" s="17" t="s">
        <v>33</v>
      </c>
      <c r="C5" s="17" t="s">
        <v>34</v>
      </c>
      <c r="D5" s="4">
        <v>2019</v>
      </c>
      <c r="E5" s="12">
        <v>43889</v>
      </c>
      <c r="F5" s="11">
        <v>43830</v>
      </c>
      <c r="G5" s="1">
        <f>31+28</f>
        <v>59</v>
      </c>
    </row>
    <row r="6" spans="1:7" ht="15.5" x14ac:dyDescent="0.35">
      <c r="A6" s="4">
        <v>5</v>
      </c>
      <c r="B6" s="17" t="s">
        <v>35</v>
      </c>
      <c r="C6" s="17" t="s">
        <v>36</v>
      </c>
      <c r="D6" s="4">
        <v>2019</v>
      </c>
      <c r="E6" s="12">
        <v>43901</v>
      </c>
      <c r="F6" s="11">
        <v>43830</v>
      </c>
      <c r="G6" s="1">
        <f>31+28+11</f>
        <v>70</v>
      </c>
    </row>
    <row r="7" spans="1:7" ht="15.5" x14ac:dyDescent="0.35">
      <c r="A7" s="4">
        <v>6</v>
      </c>
      <c r="B7" s="17" t="s">
        <v>37</v>
      </c>
      <c r="C7" s="17" t="s">
        <v>38</v>
      </c>
      <c r="D7" s="4">
        <v>2019</v>
      </c>
      <c r="E7" s="12">
        <v>43853</v>
      </c>
      <c r="F7" s="11">
        <v>43830</v>
      </c>
      <c r="G7" s="1">
        <f>23</f>
        <v>23</v>
      </c>
    </row>
    <row r="8" spans="1:7" ht="15.5" x14ac:dyDescent="0.35">
      <c r="A8" s="4">
        <v>7</v>
      </c>
      <c r="B8" s="17" t="s">
        <v>39</v>
      </c>
      <c r="C8" s="17" t="s">
        <v>40</v>
      </c>
      <c r="D8" s="4">
        <v>2019</v>
      </c>
      <c r="E8" s="12">
        <v>43962</v>
      </c>
      <c r="F8" s="11">
        <v>43830</v>
      </c>
      <c r="G8" s="1">
        <f>31+28+31+30+11</f>
        <v>131</v>
      </c>
    </row>
    <row r="9" spans="1:7" ht="15.5" x14ac:dyDescent="0.35">
      <c r="A9" s="4">
        <v>8</v>
      </c>
      <c r="B9" s="17" t="s">
        <v>43</v>
      </c>
      <c r="C9" s="17" t="s">
        <v>44</v>
      </c>
      <c r="D9" s="4">
        <v>2019</v>
      </c>
      <c r="E9" s="12">
        <v>43966</v>
      </c>
      <c r="F9" s="11">
        <v>43830</v>
      </c>
      <c r="G9" s="1">
        <f>31+29+31+30+15</f>
        <v>136</v>
      </c>
    </row>
    <row r="10" spans="1:7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12">
        <v>43854</v>
      </c>
      <c r="F10" s="11">
        <v>43830</v>
      </c>
      <c r="G10" s="1">
        <f>24</f>
        <v>24</v>
      </c>
    </row>
    <row r="11" spans="1:7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12">
        <v>43889</v>
      </c>
      <c r="F11" s="11">
        <v>43830</v>
      </c>
      <c r="G11" s="1">
        <f>31+28+30</f>
        <v>89</v>
      </c>
    </row>
    <row r="12" spans="1:7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12">
        <v>43948</v>
      </c>
      <c r="F12" s="11">
        <v>43830</v>
      </c>
      <c r="G12" s="1">
        <f>31+29+31+27</f>
        <v>118</v>
      </c>
    </row>
    <row r="13" spans="1:7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12">
        <v>43917</v>
      </c>
      <c r="F13" s="11">
        <v>43830</v>
      </c>
      <c r="G13" s="1">
        <f>31+29+27</f>
        <v>87</v>
      </c>
    </row>
    <row r="14" spans="1:7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12">
        <v>43913</v>
      </c>
      <c r="F14" s="11">
        <v>43830</v>
      </c>
      <c r="G14" s="1">
        <f>31+29+23</f>
        <v>83</v>
      </c>
    </row>
    <row r="15" spans="1:7" ht="15.5" x14ac:dyDescent="0.35">
      <c r="A15" s="4">
        <v>14</v>
      </c>
      <c r="B15" s="17" t="s">
        <v>66</v>
      </c>
      <c r="C15" s="42" t="s">
        <v>67</v>
      </c>
      <c r="D15" s="4">
        <v>2019</v>
      </c>
      <c r="E15" s="12">
        <v>43867</v>
      </c>
      <c r="F15" s="11">
        <v>43830</v>
      </c>
      <c r="G15" s="1">
        <f>31+6</f>
        <v>37</v>
      </c>
    </row>
    <row r="16" spans="1:7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12">
        <v>43935</v>
      </c>
      <c r="F16" s="11">
        <v>43830</v>
      </c>
      <c r="G16" s="1">
        <f>31+29+31+14</f>
        <v>105</v>
      </c>
    </row>
    <row r="17" spans="1:7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12">
        <v>43910</v>
      </c>
      <c r="F17" s="11">
        <v>43830</v>
      </c>
      <c r="G17" s="1">
        <f>31+29+20</f>
        <v>80</v>
      </c>
    </row>
    <row r="18" spans="1:7" ht="15.5" x14ac:dyDescent="0.35">
      <c r="A18" s="4">
        <v>17</v>
      </c>
      <c r="B18" s="17" t="s">
        <v>76</v>
      </c>
      <c r="C18" s="42" t="s">
        <v>77</v>
      </c>
      <c r="D18" s="4">
        <v>2019</v>
      </c>
      <c r="E18" s="12">
        <v>43850</v>
      </c>
      <c r="F18" s="11">
        <v>43830</v>
      </c>
      <c r="G18" s="1">
        <f>20</f>
        <v>20</v>
      </c>
    </row>
    <row r="19" spans="1:7" ht="15.5" x14ac:dyDescent="0.35">
      <c r="A19" s="4">
        <v>18</v>
      </c>
      <c r="B19" s="17" t="s">
        <v>78</v>
      </c>
      <c r="C19" s="42" t="s">
        <v>79</v>
      </c>
      <c r="D19" s="4">
        <v>2019</v>
      </c>
      <c r="E19" s="12">
        <v>43854</v>
      </c>
      <c r="F19" s="11">
        <v>43830</v>
      </c>
      <c r="G19" s="1">
        <f>31+6</f>
        <v>37</v>
      </c>
    </row>
    <row r="20" spans="1:7" ht="15.5" x14ac:dyDescent="0.35">
      <c r="A20" s="4">
        <v>19</v>
      </c>
      <c r="B20" s="17" t="s">
        <v>80</v>
      </c>
      <c r="C20" s="42" t="s">
        <v>81</v>
      </c>
      <c r="D20" s="4">
        <v>2019</v>
      </c>
      <c r="E20" s="12">
        <v>43875</v>
      </c>
      <c r="F20" s="11">
        <v>43830</v>
      </c>
      <c r="G20" s="1">
        <f>31+14</f>
        <v>45</v>
      </c>
    </row>
    <row r="21" spans="1:7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12">
        <v>43916</v>
      </c>
      <c r="F21" s="11">
        <v>43830</v>
      </c>
      <c r="G21" s="1">
        <f>31+29+26</f>
        <v>86</v>
      </c>
    </row>
    <row r="22" spans="1:7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12">
        <v>43857</v>
      </c>
      <c r="F22" s="11">
        <v>43830</v>
      </c>
      <c r="G22" s="1">
        <f>27</f>
        <v>27</v>
      </c>
    </row>
    <row r="23" spans="1:7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12">
        <v>43880</v>
      </c>
      <c r="F23" s="11">
        <v>43830</v>
      </c>
      <c r="G23" s="1">
        <f>31+19</f>
        <v>50</v>
      </c>
    </row>
    <row r="24" spans="1:7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12">
        <v>43927</v>
      </c>
      <c r="F24" s="11">
        <v>43830</v>
      </c>
      <c r="G24" s="1">
        <f>31+28+31+6</f>
        <v>96</v>
      </c>
    </row>
    <row r="25" spans="1:7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12">
        <v>43965</v>
      </c>
      <c r="F25" s="11">
        <v>43830</v>
      </c>
      <c r="G25" s="1">
        <f>31+28+31+30+14</f>
        <v>134</v>
      </c>
    </row>
    <row r="26" spans="1:7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12">
        <v>43889</v>
      </c>
      <c r="F26" s="11">
        <v>43830</v>
      </c>
      <c r="G26" s="1">
        <f>31+28</f>
        <v>59</v>
      </c>
    </row>
    <row r="27" spans="1:7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12">
        <v>43880</v>
      </c>
      <c r="F27" s="11">
        <v>43830</v>
      </c>
      <c r="G27" s="1">
        <f>31+19</f>
        <v>50</v>
      </c>
    </row>
    <row r="28" spans="1:7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12">
        <v>43853</v>
      </c>
      <c r="F28" s="11">
        <v>43830</v>
      </c>
      <c r="G28" s="1">
        <f>23</f>
        <v>23</v>
      </c>
    </row>
    <row r="29" spans="1:7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12">
        <v>43921</v>
      </c>
      <c r="F29" s="11">
        <v>43830</v>
      </c>
      <c r="G29" s="1">
        <f>31+29+31</f>
        <v>91</v>
      </c>
    </row>
    <row r="30" spans="1:7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12">
        <v>43878</v>
      </c>
      <c r="F30" s="11">
        <v>43830</v>
      </c>
      <c r="G30" s="1">
        <f>31+17</f>
        <v>48</v>
      </c>
    </row>
    <row r="31" spans="1:7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12">
        <v>43878</v>
      </c>
      <c r="F31" s="11">
        <v>43830</v>
      </c>
      <c r="G31" s="1">
        <f>31+17</f>
        <v>48</v>
      </c>
    </row>
    <row r="32" spans="1:7" ht="15.5" x14ac:dyDescent="0.35">
      <c r="A32" s="4">
        <v>31</v>
      </c>
      <c r="B32" s="17" t="s">
        <v>110</v>
      </c>
      <c r="C32" s="42" t="s">
        <v>111</v>
      </c>
      <c r="D32" s="4">
        <v>2019</v>
      </c>
      <c r="E32" s="12">
        <v>43879</v>
      </c>
      <c r="F32" s="11">
        <v>43830</v>
      </c>
      <c r="G32" s="1">
        <f>31+18</f>
        <v>49</v>
      </c>
    </row>
    <row r="33" spans="1:7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12">
        <v>43895</v>
      </c>
      <c r="F33" s="11">
        <v>43830</v>
      </c>
      <c r="G33" s="1">
        <f>31+29+5</f>
        <v>65</v>
      </c>
    </row>
    <row r="34" spans="1:7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12">
        <v>43906</v>
      </c>
      <c r="F34" s="11">
        <v>43830</v>
      </c>
      <c r="G34" s="1">
        <f>31+29+16</f>
        <v>76</v>
      </c>
    </row>
    <row r="35" spans="1:7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12">
        <v>43913</v>
      </c>
      <c r="F35" s="11">
        <v>43830</v>
      </c>
      <c r="G35" s="1">
        <f>31+29+23</f>
        <v>83</v>
      </c>
    </row>
    <row r="36" spans="1:7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12">
        <v>43978</v>
      </c>
      <c r="F36" s="11">
        <v>43830</v>
      </c>
      <c r="G36" s="1">
        <f>31+29+31+30+27</f>
        <v>148</v>
      </c>
    </row>
    <row r="37" spans="1:7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12">
        <v>43963</v>
      </c>
      <c r="F37" s="11">
        <v>43830</v>
      </c>
      <c r="G37" s="1">
        <f>31+29+31+30+12</f>
        <v>133</v>
      </c>
    </row>
    <row r="38" spans="1:7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12">
        <v>43921</v>
      </c>
      <c r="F38" s="11">
        <v>43830</v>
      </c>
      <c r="G38" s="1">
        <f>31+29+31</f>
        <v>91</v>
      </c>
    </row>
    <row r="39" spans="1:7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12">
        <v>43964</v>
      </c>
      <c r="F39" s="11">
        <v>43830</v>
      </c>
      <c r="G39" s="1">
        <f>31+29+31+30+13</f>
        <v>134</v>
      </c>
    </row>
    <row r="40" spans="1:7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12">
        <v>43907</v>
      </c>
      <c r="F40" s="11">
        <v>43830</v>
      </c>
      <c r="G40" s="1">
        <f>31+29+17</f>
        <v>77</v>
      </c>
    </row>
    <row r="41" spans="1:7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12">
        <v>43875</v>
      </c>
      <c r="F41" s="11">
        <v>43830</v>
      </c>
      <c r="G41" s="1">
        <f>31+14</f>
        <v>45</v>
      </c>
    </row>
    <row r="42" spans="1:7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12">
        <v>43886</v>
      </c>
      <c r="F42" s="11">
        <v>43830</v>
      </c>
      <c r="G42" s="1">
        <f>31+25</f>
        <v>56</v>
      </c>
    </row>
    <row r="43" spans="1:7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12">
        <v>43944</v>
      </c>
      <c r="F43" s="11">
        <v>43830</v>
      </c>
      <c r="G43" s="1">
        <f>31+29+31+23</f>
        <v>114</v>
      </c>
    </row>
    <row r="44" spans="1:7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12">
        <v>43943</v>
      </c>
      <c r="F44" s="11">
        <v>43830</v>
      </c>
      <c r="G44" s="1">
        <f>31+29+31+22</f>
        <v>113</v>
      </c>
    </row>
    <row r="45" spans="1:7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12">
        <v>43892</v>
      </c>
      <c r="F45" s="11">
        <v>43830</v>
      </c>
      <c r="G45" s="1">
        <f>31+29+2</f>
        <v>62</v>
      </c>
    </row>
    <row r="46" spans="1:7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12">
        <v>43892</v>
      </c>
      <c r="F46" s="11">
        <v>43830</v>
      </c>
      <c r="G46" s="1">
        <f>31+29+2</f>
        <v>62</v>
      </c>
    </row>
    <row r="47" spans="1:7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12">
        <v>43921</v>
      </c>
      <c r="F47" s="11">
        <v>43830</v>
      </c>
      <c r="G47" s="1">
        <f>31+29+31</f>
        <v>91</v>
      </c>
    </row>
    <row r="48" spans="1:7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12">
        <v>43929</v>
      </c>
      <c r="F48" s="11">
        <v>43830</v>
      </c>
      <c r="G48" s="1">
        <f>31+29+31+8</f>
        <v>99</v>
      </c>
    </row>
    <row r="49" spans="1:7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12">
        <v>43878</v>
      </c>
      <c r="F49" s="11">
        <v>43830</v>
      </c>
      <c r="G49" s="1">
        <f>31+17</f>
        <v>48</v>
      </c>
    </row>
    <row r="50" spans="1:7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12">
        <v>43977</v>
      </c>
      <c r="F50" s="11">
        <v>43830</v>
      </c>
      <c r="G50" s="1">
        <f>31+29+31+30+26</f>
        <v>147</v>
      </c>
    </row>
    <row r="51" spans="1:7" ht="15.5" x14ac:dyDescent="0.35">
      <c r="A51" s="4">
        <v>50</v>
      </c>
      <c r="B51" s="17" t="s">
        <v>190</v>
      </c>
      <c r="C51" s="42" t="s">
        <v>191</v>
      </c>
      <c r="D51" s="4">
        <v>2019</v>
      </c>
      <c r="E51" s="12">
        <v>43864</v>
      </c>
      <c r="F51" s="11">
        <v>43830</v>
      </c>
      <c r="G51" s="1">
        <f>31+3</f>
        <v>34</v>
      </c>
    </row>
    <row r="52" spans="1:7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12">
        <v>43956</v>
      </c>
      <c r="F52" s="11">
        <v>43830</v>
      </c>
      <c r="G52" s="1">
        <f>31+29+31+30+5</f>
        <v>126</v>
      </c>
    </row>
    <row r="53" spans="1:7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12">
        <v>43965</v>
      </c>
      <c r="F53" s="11">
        <v>43830</v>
      </c>
      <c r="G53" s="1">
        <f>31+29+31+30+14</f>
        <v>135</v>
      </c>
    </row>
    <row r="54" spans="1:7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12">
        <v>43854</v>
      </c>
      <c r="F54" s="11">
        <v>43830</v>
      </c>
      <c r="G54" s="1">
        <f>24</f>
        <v>24</v>
      </c>
    </row>
    <row r="55" spans="1:7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12">
        <v>44028</v>
      </c>
      <c r="F55" s="11">
        <v>43830</v>
      </c>
      <c r="G55" s="1">
        <f>31+29+31+30+31+30+16</f>
        <v>198</v>
      </c>
    </row>
    <row r="56" spans="1:7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12">
        <v>43920</v>
      </c>
      <c r="F56" s="11">
        <v>43830</v>
      </c>
      <c r="G56" s="1">
        <f>31+29+30</f>
        <v>90</v>
      </c>
    </row>
    <row r="57" spans="1:7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12">
        <v>43921</v>
      </c>
      <c r="F57" s="11">
        <v>43830</v>
      </c>
      <c r="G57" s="1">
        <f>31+29+31</f>
        <v>91</v>
      </c>
    </row>
    <row r="58" spans="1:7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12">
        <v>43948</v>
      </c>
      <c r="F58" s="11">
        <v>43830</v>
      </c>
      <c r="G58" s="1">
        <f>31+19+31+27</f>
        <v>108</v>
      </c>
    </row>
    <row r="59" spans="1:7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12">
        <v>43902</v>
      </c>
      <c r="F59" s="11">
        <v>43830</v>
      </c>
      <c r="G59" s="1">
        <f>31+29+12</f>
        <v>72</v>
      </c>
    </row>
    <row r="60" spans="1:7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12">
        <v>43948</v>
      </c>
      <c r="F60" s="11">
        <v>43830</v>
      </c>
      <c r="G60" s="1">
        <f>31+29+31+27</f>
        <v>118</v>
      </c>
    </row>
    <row r="61" spans="1:7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12">
        <v>43917</v>
      </c>
      <c r="F61" s="11">
        <v>43830</v>
      </c>
      <c r="G61" s="1">
        <f>31+29+27</f>
        <v>87</v>
      </c>
    </row>
    <row r="62" spans="1:7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12">
        <v>43907</v>
      </c>
      <c r="F62" s="11">
        <v>43830</v>
      </c>
      <c r="G62" s="1">
        <f>31+29+17</f>
        <v>77</v>
      </c>
    </row>
    <row r="63" spans="1:7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12">
        <v>43971</v>
      </c>
      <c r="F63" s="11">
        <v>43830</v>
      </c>
      <c r="G63" s="1">
        <f>31+29+31+30+20</f>
        <v>141</v>
      </c>
    </row>
    <row r="64" spans="1:7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45">
        <v>44295</v>
      </c>
      <c r="F64" s="11">
        <v>44196</v>
      </c>
      <c r="G64" s="46">
        <f>31+28+31+9</f>
        <v>99</v>
      </c>
    </row>
    <row r="65" spans="1:7" ht="15.5" x14ac:dyDescent="0.35">
      <c r="A65" s="4">
        <v>64</v>
      </c>
      <c r="B65" s="17" t="s">
        <v>29</v>
      </c>
      <c r="C65" s="42" t="s">
        <v>30</v>
      </c>
      <c r="D65" s="4">
        <v>2020</v>
      </c>
      <c r="E65" s="12">
        <v>44284</v>
      </c>
      <c r="F65" s="11">
        <v>44196</v>
      </c>
      <c r="G65" s="1">
        <f>31+28+29</f>
        <v>88</v>
      </c>
    </row>
    <row r="66" spans="1:7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12">
        <v>44312</v>
      </c>
      <c r="F66" s="11">
        <v>44196</v>
      </c>
      <c r="G66" s="1">
        <f>31+28+31+26</f>
        <v>116</v>
      </c>
    </row>
    <row r="67" spans="1:7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12">
        <v>44264</v>
      </c>
      <c r="F67" s="11">
        <v>44196</v>
      </c>
      <c r="G67" s="1">
        <f>31+28+9</f>
        <v>68</v>
      </c>
    </row>
    <row r="68" spans="1:7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12">
        <v>44280</v>
      </c>
      <c r="F68" s="11">
        <v>44196</v>
      </c>
      <c r="G68" s="1">
        <f>31+28+25</f>
        <v>84</v>
      </c>
    </row>
    <row r="69" spans="1:7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12">
        <v>44222</v>
      </c>
      <c r="F69" s="11">
        <v>44196</v>
      </c>
      <c r="G69" s="1">
        <f>26</f>
        <v>26</v>
      </c>
    </row>
    <row r="70" spans="1:7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12">
        <v>44300</v>
      </c>
      <c r="F70" s="11">
        <v>44196</v>
      </c>
      <c r="G70" s="1">
        <f>31+28+31+14</f>
        <v>104</v>
      </c>
    </row>
    <row r="71" spans="1:7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12">
        <v>44315</v>
      </c>
      <c r="F71" s="11">
        <v>44196</v>
      </c>
      <c r="G71" s="1">
        <f>31+28+31+29</f>
        <v>119</v>
      </c>
    </row>
    <row r="72" spans="1:7" ht="15.5" x14ac:dyDescent="0.35">
      <c r="A72" s="4">
        <v>71</v>
      </c>
      <c r="B72" s="17" t="s">
        <v>45</v>
      </c>
      <c r="C72" s="61" t="s">
        <v>235</v>
      </c>
      <c r="D72" s="4">
        <v>2020</v>
      </c>
      <c r="E72" s="12">
        <v>44255</v>
      </c>
      <c r="F72" s="11">
        <v>44196</v>
      </c>
      <c r="G72" s="1">
        <f>28</f>
        <v>28</v>
      </c>
    </row>
    <row r="73" spans="1:7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12">
        <v>44271</v>
      </c>
      <c r="F73" s="11">
        <v>44196</v>
      </c>
      <c r="G73" s="1">
        <f>31+28+16</f>
        <v>75</v>
      </c>
    </row>
    <row r="74" spans="1:7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12">
        <v>44343</v>
      </c>
      <c r="F74" s="11">
        <v>44196</v>
      </c>
      <c r="G74" s="1">
        <f>31+28+31+30+27</f>
        <v>147</v>
      </c>
    </row>
    <row r="75" spans="1:7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12">
        <v>44284</v>
      </c>
      <c r="F75" s="11">
        <v>44196</v>
      </c>
      <c r="G75" s="1">
        <f>31+28+29</f>
        <v>88</v>
      </c>
    </row>
    <row r="76" spans="1:7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12">
        <v>44298</v>
      </c>
      <c r="F76" s="11">
        <v>44196</v>
      </c>
      <c r="G76" s="1">
        <f>31+29+31+12</f>
        <v>103</v>
      </c>
    </row>
    <row r="77" spans="1:7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12">
        <v>44225</v>
      </c>
      <c r="F77" s="11">
        <v>44196</v>
      </c>
      <c r="G77" s="1">
        <f>29</f>
        <v>29</v>
      </c>
    </row>
    <row r="78" spans="1:7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12">
        <v>44308</v>
      </c>
      <c r="F78" s="11">
        <v>44196</v>
      </c>
      <c r="G78" s="1">
        <f>31+28+31+22</f>
        <v>112</v>
      </c>
    </row>
    <row r="79" spans="1:7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12">
        <v>44286</v>
      </c>
      <c r="F79" s="11">
        <v>44196</v>
      </c>
      <c r="G79" s="1">
        <f>31+28+31</f>
        <v>90</v>
      </c>
    </row>
    <row r="80" spans="1:7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12">
        <v>44218</v>
      </c>
      <c r="F80" s="11">
        <v>44196</v>
      </c>
      <c r="G80" s="1">
        <f>22</f>
        <v>22</v>
      </c>
    </row>
    <row r="81" spans="1:7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12">
        <v>44225</v>
      </c>
      <c r="F81" s="11">
        <v>44196</v>
      </c>
      <c r="G81" s="1">
        <f>29</f>
        <v>29</v>
      </c>
    </row>
    <row r="82" spans="1:7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12">
        <v>44237</v>
      </c>
      <c r="F82" s="11">
        <v>44196</v>
      </c>
      <c r="G82" s="1">
        <f>31+10</f>
        <v>41</v>
      </c>
    </row>
    <row r="83" spans="1:7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12">
        <v>44323</v>
      </c>
      <c r="F83" s="11">
        <v>44196</v>
      </c>
      <c r="G83" s="1">
        <f>31+28+31+30+7</f>
        <v>127</v>
      </c>
    </row>
    <row r="84" spans="1:7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12">
        <v>44238</v>
      </c>
      <c r="F84" s="11">
        <v>44196</v>
      </c>
      <c r="G84" s="1">
        <f>31+11</f>
        <v>42</v>
      </c>
    </row>
    <row r="85" spans="1:7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12">
        <v>44267</v>
      </c>
      <c r="F85" s="11">
        <v>44196</v>
      </c>
      <c r="G85" s="1">
        <f>31+28+12</f>
        <v>71</v>
      </c>
    </row>
    <row r="86" spans="1:7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12">
        <v>44305</v>
      </c>
      <c r="F86" s="11">
        <v>44196</v>
      </c>
      <c r="G86" s="1">
        <f>31+28+31+19</f>
        <v>109</v>
      </c>
    </row>
    <row r="87" spans="1:7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12">
        <v>44312</v>
      </c>
      <c r="F87" s="11">
        <v>44196</v>
      </c>
      <c r="G87" s="1">
        <f>31+28+31+26</f>
        <v>116</v>
      </c>
    </row>
    <row r="88" spans="1:7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12">
        <v>44265</v>
      </c>
      <c r="F88" s="11">
        <v>44196</v>
      </c>
      <c r="G88" s="1">
        <f>31+28+10</f>
        <v>69</v>
      </c>
    </row>
    <row r="89" spans="1:7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12">
        <v>44232</v>
      </c>
      <c r="F89" s="11">
        <v>44196</v>
      </c>
      <c r="G89" s="1">
        <f>31+5</f>
        <v>36</v>
      </c>
    </row>
    <row r="90" spans="1:7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12">
        <v>44217</v>
      </c>
      <c r="F90" s="11">
        <v>44196</v>
      </c>
      <c r="G90" s="1">
        <f>21</f>
        <v>21</v>
      </c>
    </row>
    <row r="91" spans="1:7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12">
        <v>44316</v>
      </c>
      <c r="F91" s="11">
        <v>44196</v>
      </c>
      <c r="G91" s="1">
        <f>31+28+31+30</f>
        <v>120</v>
      </c>
    </row>
    <row r="92" spans="1:7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12">
        <v>44244</v>
      </c>
      <c r="F92" s="11">
        <v>44196</v>
      </c>
      <c r="G92" s="1">
        <f>31+17</f>
        <v>48</v>
      </c>
    </row>
    <row r="93" spans="1:7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12">
        <v>44245</v>
      </c>
      <c r="F93" s="11">
        <v>44196</v>
      </c>
      <c r="G93" s="1">
        <f>31+18</f>
        <v>49</v>
      </c>
    </row>
    <row r="94" spans="1:7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12">
        <v>44263</v>
      </c>
      <c r="F94" s="11">
        <v>44196</v>
      </c>
      <c r="G94" s="1">
        <f>31+28+8</f>
        <v>67</v>
      </c>
    </row>
    <row r="95" spans="1:7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12">
        <v>44236</v>
      </c>
      <c r="F95" s="11">
        <v>44196</v>
      </c>
      <c r="G95" s="1">
        <f>31+9</f>
        <v>40</v>
      </c>
    </row>
    <row r="96" spans="1:7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12">
        <v>44285</v>
      </c>
      <c r="F96" s="11">
        <v>44196</v>
      </c>
      <c r="G96" s="1">
        <f>31+28+30</f>
        <v>89</v>
      </c>
    </row>
    <row r="97" spans="1:7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12">
        <v>44253</v>
      </c>
      <c r="F97" s="11">
        <v>44196</v>
      </c>
      <c r="G97" s="1">
        <f>31+26</f>
        <v>57</v>
      </c>
    </row>
    <row r="98" spans="1:7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12">
        <v>44347</v>
      </c>
      <c r="F98" s="11">
        <v>44196</v>
      </c>
      <c r="G98" s="1">
        <f>31+28+31+30+31</f>
        <v>151</v>
      </c>
    </row>
    <row r="99" spans="1:7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12">
        <v>44347</v>
      </c>
      <c r="F99" s="11">
        <v>44196</v>
      </c>
      <c r="G99" s="1">
        <f>31+28+31+30+31</f>
        <v>151</v>
      </c>
    </row>
    <row r="100" spans="1:7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12">
        <v>44286</v>
      </c>
      <c r="F100" s="11">
        <v>44196</v>
      </c>
      <c r="G100" s="1">
        <f>31+28+31</f>
        <v>90</v>
      </c>
    </row>
    <row r="101" spans="1:7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12">
        <v>44216</v>
      </c>
      <c r="F101" s="11">
        <v>44196</v>
      </c>
      <c r="G101" s="1">
        <f>20</f>
        <v>20</v>
      </c>
    </row>
    <row r="102" spans="1:7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12">
        <v>44286</v>
      </c>
      <c r="F102" s="11">
        <v>44196</v>
      </c>
      <c r="G102" s="1">
        <f>31+28+31</f>
        <v>90</v>
      </c>
    </row>
    <row r="103" spans="1:7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12">
        <v>44249</v>
      </c>
      <c r="F103" s="11">
        <v>44196</v>
      </c>
      <c r="G103" s="1">
        <f>31+22</f>
        <v>53</v>
      </c>
    </row>
    <row r="104" spans="1:7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12">
        <v>44284</v>
      </c>
      <c r="F104" s="11">
        <v>44196</v>
      </c>
      <c r="G104" s="1">
        <f>31+28+29</f>
        <v>88</v>
      </c>
    </row>
    <row r="105" spans="1:7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12">
        <v>44343</v>
      </c>
      <c r="F105" s="11">
        <v>44196</v>
      </c>
      <c r="G105" s="1">
        <f>31+28+31+30+27</f>
        <v>147</v>
      </c>
    </row>
    <row r="106" spans="1:7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12">
        <v>44343</v>
      </c>
      <c r="F106" s="11">
        <v>44196</v>
      </c>
      <c r="G106" s="1">
        <f>31+28+31+30+27</f>
        <v>147</v>
      </c>
    </row>
    <row r="107" spans="1:7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12">
        <v>44253</v>
      </c>
      <c r="F107" s="11">
        <v>44196</v>
      </c>
      <c r="G107" s="1">
        <f>31+26</f>
        <v>57</v>
      </c>
    </row>
    <row r="108" spans="1:7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12">
        <v>44259</v>
      </c>
      <c r="F108" s="11">
        <v>44196</v>
      </c>
      <c r="G108" s="1">
        <f>31+28+4</f>
        <v>63</v>
      </c>
    </row>
    <row r="109" spans="1:7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12">
        <v>44316</v>
      </c>
      <c r="F109" s="11">
        <v>44196</v>
      </c>
      <c r="G109" s="1">
        <f>31+28+31+30</f>
        <v>120</v>
      </c>
    </row>
    <row r="110" spans="1:7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12">
        <v>44277</v>
      </c>
      <c r="F110" s="11">
        <v>44196</v>
      </c>
      <c r="G110" s="1">
        <f>31+28+22</f>
        <v>81</v>
      </c>
    </row>
    <row r="111" spans="1:7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12">
        <v>44245</v>
      </c>
      <c r="F111" s="11">
        <v>44196</v>
      </c>
      <c r="G111" s="1">
        <f>31+18</f>
        <v>49</v>
      </c>
    </row>
    <row r="112" spans="1:7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12">
        <v>44340</v>
      </c>
      <c r="F112" s="11">
        <v>44196</v>
      </c>
      <c r="G112" s="1">
        <f>31+28+31+30+24</f>
        <v>144</v>
      </c>
    </row>
    <row r="113" spans="1:7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12">
        <v>44222</v>
      </c>
      <c r="F113" s="11">
        <v>44196</v>
      </c>
      <c r="G113" s="1">
        <f>26</f>
        <v>26</v>
      </c>
    </row>
    <row r="114" spans="1:7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12">
        <v>44237</v>
      </c>
      <c r="F114" s="11">
        <v>44196</v>
      </c>
      <c r="G114" s="1">
        <f>31+10</f>
        <v>41</v>
      </c>
    </row>
    <row r="115" spans="1:7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12">
        <v>44305</v>
      </c>
      <c r="F115" s="11">
        <v>44196</v>
      </c>
      <c r="G115" s="1">
        <f>31+28+31+19</f>
        <v>109</v>
      </c>
    </row>
    <row r="116" spans="1:7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12">
        <v>44221</v>
      </c>
      <c r="F116" s="11">
        <v>44196</v>
      </c>
      <c r="G116" s="1">
        <f>25</f>
        <v>25</v>
      </c>
    </row>
    <row r="117" spans="1:7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12">
        <v>44270</v>
      </c>
      <c r="F117" s="11">
        <v>44196</v>
      </c>
      <c r="G117" s="1">
        <f>31+28+15</f>
        <v>74</v>
      </c>
    </row>
    <row r="118" spans="1:7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12">
        <v>44340</v>
      </c>
      <c r="F118" s="11">
        <v>44196</v>
      </c>
      <c r="G118" s="1">
        <f>31+28+31+30+24</f>
        <v>144</v>
      </c>
    </row>
    <row r="119" spans="1:7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12">
        <v>44347</v>
      </c>
      <c r="F119" s="11">
        <v>44196</v>
      </c>
      <c r="G119" s="1">
        <f>31+28+31+30+31</f>
        <v>151</v>
      </c>
    </row>
    <row r="120" spans="1:7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12">
        <v>44340</v>
      </c>
      <c r="F120" s="11">
        <v>44196</v>
      </c>
      <c r="G120" s="1">
        <f>31+28+31+30+24</f>
        <v>144</v>
      </c>
    </row>
    <row r="121" spans="1:7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12">
        <v>44281</v>
      </c>
      <c r="F121" s="11">
        <v>44196</v>
      </c>
      <c r="G121" s="1">
        <f>31+28+26</f>
        <v>85</v>
      </c>
    </row>
    <row r="122" spans="1:7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12">
        <v>44277</v>
      </c>
      <c r="F122" s="11">
        <v>44196</v>
      </c>
      <c r="G122" s="1">
        <f>31+28+22</f>
        <v>81</v>
      </c>
    </row>
    <row r="123" spans="1:7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12">
        <v>44284</v>
      </c>
      <c r="F123" s="11">
        <v>44196</v>
      </c>
      <c r="G123" s="1">
        <f>31+28+29</f>
        <v>88</v>
      </c>
    </row>
    <row r="124" spans="1:7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12">
        <v>44281</v>
      </c>
      <c r="F124" s="11">
        <v>44196</v>
      </c>
      <c r="G124" s="1">
        <f>31+28+26</f>
        <v>85</v>
      </c>
    </row>
    <row r="125" spans="1:7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12">
        <v>44291</v>
      </c>
      <c r="F125" s="11">
        <v>44196</v>
      </c>
      <c r="G125" s="1">
        <f>31+28+31+5</f>
        <v>95</v>
      </c>
    </row>
    <row r="126" spans="1:7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45">
        <v>44592</v>
      </c>
      <c r="F126" s="11">
        <v>44561</v>
      </c>
      <c r="G126" s="46">
        <f>31</f>
        <v>31</v>
      </c>
    </row>
    <row r="127" spans="1:7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12">
        <v>44645</v>
      </c>
      <c r="F127" s="11">
        <v>44561</v>
      </c>
      <c r="G127" s="1">
        <f>31+28+25</f>
        <v>84</v>
      </c>
    </row>
    <row r="128" spans="1:7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12">
        <v>44673</v>
      </c>
      <c r="F128" s="11">
        <v>44561</v>
      </c>
      <c r="G128" s="1">
        <f>31+28+31+22</f>
        <v>112</v>
      </c>
    </row>
    <row r="129" spans="1:7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12">
        <v>44628</v>
      </c>
      <c r="F129" s="11">
        <v>44561</v>
      </c>
      <c r="G129" s="1">
        <f>31+28+8</f>
        <v>67</v>
      </c>
    </row>
    <row r="130" spans="1:7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12">
        <v>44624</v>
      </c>
      <c r="F130" s="11">
        <v>44561</v>
      </c>
      <c r="G130" s="1">
        <f>31+28+4</f>
        <v>63</v>
      </c>
    </row>
    <row r="131" spans="1:7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12">
        <v>44588</v>
      </c>
      <c r="F131" s="11">
        <v>44561</v>
      </c>
      <c r="G131" s="1">
        <f>27</f>
        <v>27</v>
      </c>
    </row>
    <row r="132" spans="1:7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12">
        <v>44662</v>
      </c>
      <c r="F132" s="11">
        <v>44561</v>
      </c>
      <c r="G132" s="1">
        <f>31+28+31+11</f>
        <v>101</v>
      </c>
    </row>
    <row r="133" spans="1:7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12">
        <v>44679</v>
      </c>
      <c r="F133" s="11">
        <v>44561</v>
      </c>
      <c r="G133" s="1">
        <f>31+28+31+28</f>
        <v>118</v>
      </c>
    </row>
    <row r="134" spans="1:7" ht="15.5" x14ac:dyDescent="0.35">
      <c r="A134" s="23">
        <v>133</v>
      </c>
      <c r="B134" s="17" t="s">
        <v>45</v>
      </c>
      <c r="C134" s="17" t="s">
        <v>235</v>
      </c>
      <c r="D134" s="4">
        <v>2021</v>
      </c>
      <c r="E134" s="12">
        <v>44589</v>
      </c>
      <c r="F134" s="11">
        <v>44561</v>
      </c>
      <c r="G134" s="1">
        <f>28</f>
        <v>28</v>
      </c>
    </row>
    <row r="135" spans="1:7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12">
        <v>44630</v>
      </c>
      <c r="F135" s="11">
        <v>44561</v>
      </c>
      <c r="G135" s="1">
        <f>31+28+10</f>
        <v>69</v>
      </c>
    </row>
    <row r="136" spans="1:7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12">
        <v>44678</v>
      </c>
      <c r="F136" s="11">
        <v>44561</v>
      </c>
      <c r="G136" s="1">
        <f>31+28+31+27</f>
        <v>117</v>
      </c>
    </row>
    <row r="137" spans="1:7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12">
        <v>44650</v>
      </c>
      <c r="F137" s="11">
        <v>44561</v>
      </c>
      <c r="G137" s="1">
        <f>31+28+30</f>
        <v>89</v>
      </c>
    </row>
    <row r="138" spans="1:7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12">
        <v>44663</v>
      </c>
      <c r="F138" s="11">
        <v>44561</v>
      </c>
      <c r="G138" s="1">
        <f>31+28+31+12</f>
        <v>102</v>
      </c>
    </row>
    <row r="139" spans="1:7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12">
        <v>44585</v>
      </c>
      <c r="F139" s="11">
        <v>44561</v>
      </c>
      <c r="G139" s="1">
        <f>24</f>
        <v>24</v>
      </c>
    </row>
    <row r="140" spans="1:7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12">
        <v>44651</v>
      </c>
      <c r="F140" s="11">
        <v>44561</v>
      </c>
      <c r="G140" s="1">
        <f>31+28+31</f>
        <v>90</v>
      </c>
    </row>
    <row r="141" spans="1:7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12">
        <v>44649</v>
      </c>
      <c r="F141" s="11">
        <v>44561</v>
      </c>
      <c r="G141" s="1">
        <f>31+28+29</f>
        <v>88</v>
      </c>
    </row>
    <row r="142" spans="1:7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12">
        <v>44613</v>
      </c>
      <c r="F142" s="11">
        <v>44561</v>
      </c>
      <c r="G142" s="1">
        <f>31+21</f>
        <v>52</v>
      </c>
    </row>
    <row r="143" spans="1:7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12">
        <v>44595</v>
      </c>
      <c r="F143" s="11">
        <v>44561</v>
      </c>
      <c r="G143" s="1">
        <f>31+3</f>
        <v>34</v>
      </c>
    </row>
    <row r="144" spans="1:7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12">
        <v>44599</v>
      </c>
      <c r="F144" s="11">
        <v>44561</v>
      </c>
      <c r="G144" s="1">
        <f>31+7</f>
        <v>38</v>
      </c>
    </row>
    <row r="145" spans="1:7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12">
        <v>44651</v>
      </c>
      <c r="F145" s="11">
        <v>44561</v>
      </c>
      <c r="G145" s="1">
        <f>31+28+31</f>
        <v>90</v>
      </c>
    </row>
    <row r="146" spans="1:7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12">
        <v>44620</v>
      </c>
      <c r="F146" s="11">
        <v>44561</v>
      </c>
      <c r="G146" s="1">
        <f>31+28</f>
        <v>59</v>
      </c>
    </row>
    <row r="147" spans="1:7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12">
        <v>44607</v>
      </c>
      <c r="F147" s="11">
        <v>44561</v>
      </c>
      <c r="G147" s="1">
        <f>31+15</f>
        <v>46</v>
      </c>
    </row>
    <row r="148" spans="1:7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12">
        <v>44648</v>
      </c>
      <c r="F148" s="11">
        <v>44561</v>
      </c>
      <c r="G148" s="1">
        <f>31+28+28</f>
        <v>87</v>
      </c>
    </row>
    <row r="149" spans="1:7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12">
        <v>44651</v>
      </c>
      <c r="F149" s="11">
        <v>44561</v>
      </c>
      <c r="G149" s="1">
        <f>31+28+31</f>
        <v>90</v>
      </c>
    </row>
    <row r="150" spans="1:7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12">
        <v>44593</v>
      </c>
      <c r="F150" s="11">
        <v>44561</v>
      </c>
      <c r="G150" s="1">
        <f>31+28+1</f>
        <v>60</v>
      </c>
    </row>
    <row r="151" spans="1:7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12">
        <v>44613</v>
      </c>
      <c r="F151" s="11">
        <v>44561</v>
      </c>
      <c r="G151" s="1">
        <f>31+21</f>
        <v>52</v>
      </c>
    </row>
    <row r="152" spans="1:7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12">
        <v>44588</v>
      </c>
      <c r="F152" s="11">
        <v>44561</v>
      </c>
      <c r="G152" s="1">
        <f>27</f>
        <v>27</v>
      </c>
    </row>
    <row r="153" spans="1:7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12">
        <v>44641</v>
      </c>
      <c r="F153" s="11">
        <v>44561</v>
      </c>
      <c r="G153" s="1">
        <f>31+28+21</f>
        <v>80</v>
      </c>
    </row>
    <row r="154" spans="1:7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12">
        <v>44609</v>
      </c>
      <c r="F154" s="11">
        <v>44561</v>
      </c>
      <c r="G154" s="1">
        <f>31+17</f>
        <v>48</v>
      </c>
    </row>
    <row r="155" spans="1:7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12">
        <v>44609</v>
      </c>
      <c r="F155" s="11">
        <v>44561</v>
      </c>
      <c r="G155" s="1">
        <f>31+17</f>
        <v>48</v>
      </c>
    </row>
    <row r="156" spans="1:7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12">
        <v>44631</v>
      </c>
      <c r="F156" s="11">
        <v>44561</v>
      </c>
      <c r="G156" s="1">
        <f>31+28+11</f>
        <v>70</v>
      </c>
    </row>
    <row r="157" spans="1:7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12">
        <v>44617</v>
      </c>
      <c r="F157" s="11">
        <v>44561</v>
      </c>
      <c r="G157" s="1">
        <f>31+25</f>
        <v>56</v>
      </c>
    </row>
    <row r="158" spans="1:7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12">
        <v>44649</v>
      </c>
      <c r="F158" s="11">
        <v>44561</v>
      </c>
      <c r="G158" s="1">
        <f>31+28+29</f>
        <v>88</v>
      </c>
    </row>
    <row r="159" spans="1:7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12">
        <v>44615</v>
      </c>
      <c r="F159" s="11">
        <v>44561</v>
      </c>
      <c r="G159" s="1">
        <f>31+23</f>
        <v>54</v>
      </c>
    </row>
    <row r="160" spans="1:7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12">
        <v>44679</v>
      </c>
      <c r="F160" s="11">
        <v>44561</v>
      </c>
      <c r="G160" s="1">
        <f>31+28+31+28</f>
        <v>118</v>
      </c>
    </row>
    <row r="161" spans="1:7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12">
        <v>44678</v>
      </c>
      <c r="F161" s="11">
        <v>44561</v>
      </c>
      <c r="G161" s="1">
        <f>31+28+31+27</f>
        <v>117</v>
      </c>
    </row>
    <row r="162" spans="1:7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12">
        <v>44586</v>
      </c>
      <c r="F162" s="11">
        <v>44561</v>
      </c>
      <c r="G162" s="1">
        <f>25</f>
        <v>25</v>
      </c>
    </row>
    <row r="163" spans="1:7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12">
        <v>44610</v>
      </c>
      <c r="F163" s="11">
        <v>44561</v>
      </c>
      <c r="G163" s="1">
        <f>31+18</f>
        <v>49</v>
      </c>
    </row>
    <row r="164" spans="1:7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12">
        <v>44635</v>
      </c>
      <c r="F164" s="11">
        <v>44561</v>
      </c>
      <c r="G164" s="1">
        <f>31+28+15</f>
        <v>74</v>
      </c>
    </row>
    <row r="165" spans="1:7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12">
        <v>44610</v>
      </c>
      <c r="F165" s="11">
        <v>44561</v>
      </c>
      <c r="G165" s="1">
        <f>31+18</f>
        <v>49</v>
      </c>
    </row>
    <row r="166" spans="1:7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12">
        <v>44645</v>
      </c>
      <c r="F166" s="11">
        <v>44561</v>
      </c>
      <c r="G166" s="1">
        <f>31+28+25</f>
        <v>84</v>
      </c>
    </row>
    <row r="167" spans="1:7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12">
        <v>44677</v>
      </c>
      <c r="F167" s="11">
        <v>44561</v>
      </c>
      <c r="G167" s="1">
        <f>31+28+31+26</f>
        <v>116</v>
      </c>
    </row>
    <row r="168" spans="1:7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12">
        <v>44676</v>
      </c>
      <c r="F168" s="11">
        <v>44561</v>
      </c>
      <c r="G168" s="1">
        <f>31+28+31+25</f>
        <v>115</v>
      </c>
    </row>
    <row r="169" spans="1:7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12">
        <v>44621</v>
      </c>
      <c r="F169" s="11">
        <v>44561</v>
      </c>
      <c r="G169" s="1">
        <f>31+28+1</f>
        <v>60</v>
      </c>
    </row>
    <row r="170" spans="1:7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12">
        <v>44630</v>
      </c>
      <c r="F170" s="11">
        <v>44561</v>
      </c>
      <c r="G170" s="1">
        <f>31+28+10</f>
        <v>69</v>
      </c>
    </row>
    <row r="171" spans="1:7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12">
        <v>44672</v>
      </c>
      <c r="F171" s="11">
        <v>44561</v>
      </c>
      <c r="G171" s="1">
        <f>31+28+31+21</f>
        <v>111</v>
      </c>
    </row>
    <row r="172" spans="1:7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12">
        <v>44643</v>
      </c>
      <c r="F172" s="11">
        <v>44561</v>
      </c>
      <c r="G172" s="1">
        <f>31+28+23</f>
        <v>82</v>
      </c>
    </row>
    <row r="173" spans="1:7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12">
        <v>44609</v>
      </c>
      <c r="F173" s="11">
        <v>44561</v>
      </c>
      <c r="G173" s="1">
        <f>31+17</f>
        <v>48</v>
      </c>
    </row>
    <row r="174" spans="1:7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12">
        <v>44679</v>
      </c>
      <c r="F174" s="11">
        <v>44561</v>
      </c>
      <c r="G174" s="1">
        <f>31+28+31+28</f>
        <v>118</v>
      </c>
    </row>
    <row r="175" spans="1:7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12">
        <v>44580</v>
      </c>
      <c r="F175" s="11">
        <v>44561</v>
      </c>
      <c r="G175" s="1">
        <f>19</f>
        <v>19</v>
      </c>
    </row>
    <row r="176" spans="1:7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12">
        <v>44603</v>
      </c>
      <c r="F176" s="11">
        <v>44561</v>
      </c>
      <c r="G176" s="1">
        <f>31+11</f>
        <v>42</v>
      </c>
    </row>
    <row r="177" spans="1:7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12">
        <v>44690</v>
      </c>
      <c r="F177" s="11">
        <v>44561</v>
      </c>
      <c r="G177" s="1">
        <f>31+28+31+30+9</f>
        <v>129</v>
      </c>
    </row>
    <row r="178" spans="1:7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12">
        <v>44584</v>
      </c>
      <c r="F178" s="11">
        <v>44561</v>
      </c>
      <c r="G178" s="1">
        <f>23</f>
        <v>23</v>
      </c>
    </row>
    <row r="179" spans="1:7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12">
        <v>44614</v>
      </c>
      <c r="F179" s="11">
        <v>44561</v>
      </c>
      <c r="G179" s="1">
        <f>31+22</f>
        <v>53</v>
      </c>
    </row>
    <row r="180" spans="1:7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12">
        <v>44678</v>
      </c>
      <c r="F180" s="11">
        <v>44561</v>
      </c>
      <c r="G180" s="1">
        <f>31+28+31+27</f>
        <v>117</v>
      </c>
    </row>
    <row r="181" spans="1:7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12">
        <v>44678</v>
      </c>
      <c r="F181" s="11">
        <v>44561</v>
      </c>
      <c r="G181" s="1">
        <f>31+28+31+27</f>
        <v>117</v>
      </c>
    </row>
    <row r="182" spans="1:7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12">
        <v>44676</v>
      </c>
      <c r="F182" s="11">
        <v>44561</v>
      </c>
      <c r="G182" s="1">
        <f>31+28+31+25</f>
        <v>115</v>
      </c>
    </row>
    <row r="183" spans="1:7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12">
        <v>44627</v>
      </c>
      <c r="F183" s="11">
        <v>44561</v>
      </c>
      <c r="G183" s="1">
        <f>31+28+7</f>
        <v>66</v>
      </c>
    </row>
    <row r="184" spans="1:7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12">
        <v>44645</v>
      </c>
      <c r="F184" s="11">
        <v>44561</v>
      </c>
      <c r="G184" s="1">
        <f>31+28+25</f>
        <v>84</v>
      </c>
    </row>
    <row r="185" spans="1:7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12">
        <v>44672</v>
      </c>
      <c r="F185" s="11">
        <v>44561</v>
      </c>
      <c r="G185" s="1">
        <f>31+28+31+21</f>
        <v>111</v>
      </c>
    </row>
    <row r="186" spans="1:7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12">
        <v>44649</v>
      </c>
      <c r="F186" s="11">
        <v>44561</v>
      </c>
      <c r="G186" s="1">
        <f>31+28+29</f>
        <v>88</v>
      </c>
    </row>
    <row r="187" spans="1:7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12">
        <v>44650</v>
      </c>
      <c r="F187" s="11">
        <v>44561</v>
      </c>
      <c r="G187" s="1">
        <f>31+28+30</f>
        <v>89</v>
      </c>
    </row>
    <row r="188" spans="1:7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45">
        <v>44970</v>
      </c>
      <c r="F188" s="11">
        <v>44926</v>
      </c>
      <c r="G188" s="46">
        <v>44</v>
      </c>
    </row>
    <row r="189" spans="1:7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12">
        <v>44991</v>
      </c>
      <c r="F189" s="11">
        <v>44926</v>
      </c>
      <c r="G189" s="1">
        <f>31+28+6</f>
        <v>65</v>
      </c>
    </row>
    <row r="190" spans="1:7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12">
        <v>45036</v>
      </c>
      <c r="F190" s="11">
        <v>44926</v>
      </c>
      <c r="G190" s="1">
        <f>31+28+31+20</f>
        <v>110</v>
      </c>
    </row>
    <row r="191" spans="1:7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12">
        <v>44993</v>
      </c>
      <c r="F191" s="11">
        <v>44926</v>
      </c>
      <c r="G191" s="1">
        <f>31+28+8</f>
        <v>67</v>
      </c>
    </row>
    <row r="192" spans="1:7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12">
        <v>44988</v>
      </c>
      <c r="F192" s="11">
        <v>44926</v>
      </c>
      <c r="G192" s="1">
        <f>31+28+3</f>
        <v>62</v>
      </c>
    </row>
    <row r="193" spans="1:7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12">
        <v>44953</v>
      </c>
      <c r="F193" s="11">
        <v>44926</v>
      </c>
      <c r="G193" s="1">
        <f>27</f>
        <v>27</v>
      </c>
    </row>
    <row r="194" spans="1:7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12">
        <v>44994</v>
      </c>
      <c r="F194" s="11">
        <v>44926</v>
      </c>
      <c r="G194" s="1">
        <f>31+28+9</f>
        <v>68</v>
      </c>
    </row>
    <row r="195" spans="1:7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12">
        <v>44985</v>
      </c>
      <c r="F195" s="11">
        <v>44926</v>
      </c>
      <c r="G195" s="1">
        <f>31+28</f>
        <v>59</v>
      </c>
    </row>
    <row r="196" spans="1:7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12">
        <v>44965</v>
      </c>
      <c r="F196" s="11">
        <v>44926</v>
      </c>
      <c r="G196" s="1">
        <f>31+8</f>
        <v>39</v>
      </c>
    </row>
    <row r="197" spans="1:7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12">
        <v>45013</v>
      </c>
      <c r="F197" s="11">
        <v>44926</v>
      </c>
      <c r="G197" s="1">
        <f>31+28+28</f>
        <v>87</v>
      </c>
    </row>
    <row r="198" spans="1:7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12">
        <v>45015</v>
      </c>
      <c r="F198" s="11">
        <v>44926</v>
      </c>
      <c r="G198" s="1">
        <f>31+28+30</f>
        <v>89</v>
      </c>
    </row>
    <row r="199" spans="1:7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12">
        <v>45014</v>
      </c>
      <c r="F199" s="11">
        <v>44926</v>
      </c>
      <c r="G199" s="1">
        <f>31+28+29</f>
        <v>88</v>
      </c>
    </row>
    <row r="200" spans="1:7" ht="15.5" x14ac:dyDescent="0.35">
      <c r="A200" s="23">
        <v>199</v>
      </c>
      <c r="B200" s="17" t="s">
        <v>60</v>
      </c>
      <c r="C200" s="17" t="s">
        <v>61</v>
      </c>
      <c r="D200" s="4">
        <v>2022</v>
      </c>
      <c r="E200" s="12">
        <v>45014</v>
      </c>
      <c r="F200" s="11">
        <v>44926</v>
      </c>
      <c r="G200" s="1">
        <f>31+28+29</f>
        <v>88</v>
      </c>
    </row>
    <row r="201" spans="1:7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12">
        <v>44951</v>
      </c>
      <c r="F201" s="11">
        <v>44926</v>
      </c>
      <c r="G201" s="1">
        <f>25</f>
        <v>25</v>
      </c>
    </row>
    <row r="202" spans="1:7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12">
        <v>45015</v>
      </c>
      <c r="F202" s="11">
        <v>44926</v>
      </c>
      <c r="G202" s="1">
        <f>31+28+30</f>
        <v>89</v>
      </c>
    </row>
    <row r="203" spans="1:7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12">
        <v>45014</v>
      </c>
      <c r="F203" s="11">
        <v>44926</v>
      </c>
      <c r="G203" s="1">
        <f>31+28+29</f>
        <v>88</v>
      </c>
    </row>
    <row r="204" spans="1:7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12">
        <v>44946</v>
      </c>
      <c r="F204" s="11">
        <v>44926</v>
      </c>
      <c r="G204" s="1">
        <f>20</f>
        <v>20</v>
      </c>
    </row>
    <row r="205" spans="1:7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12">
        <v>44963</v>
      </c>
      <c r="F205" s="11">
        <v>44926</v>
      </c>
      <c r="G205" s="1">
        <f>31+6</f>
        <v>37</v>
      </c>
    </row>
    <row r="206" spans="1:7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12">
        <v>44974</v>
      </c>
      <c r="F206" s="11">
        <v>44926</v>
      </c>
      <c r="G206" s="1">
        <f>31+17</f>
        <v>48</v>
      </c>
    </row>
    <row r="207" spans="1:7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12">
        <v>45016</v>
      </c>
      <c r="F207" s="11">
        <v>44926</v>
      </c>
      <c r="G207" s="1">
        <f>31+28+31</f>
        <v>90</v>
      </c>
    </row>
    <row r="208" spans="1:7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12">
        <v>44971</v>
      </c>
      <c r="F208" s="11">
        <v>44926</v>
      </c>
      <c r="G208" s="1">
        <f>31+14</f>
        <v>45</v>
      </c>
    </row>
    <row r="209" spans="1:7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12">
        <v>44970</v>
      </c>
      <c r="F209" s="11">
        <v>44926</v>
      </c>
      <c r="G209" s="1">
        <f>31+28+13</f>
        <v>72</v>
      </c>
    </row>
    <row r="210" spans="1:7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12">
        <v>45016</v>
      </c>
      <c r="F210" s="11">
        <v>44926</v>
      </c>
      <c r="G210" s="1">
        <f>31+28+31</f>
        <v>90</v>
      </c>
    </row>
    <row r="211" spans="1:7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12">
        <v>45015</v>
      </c>
      <c r="F211" s="11">
        <v>44926</v>
      </c>
      <c r="G211" s="1">
        <f>31+28+30</f>
        <v>89</v>
      </c>
    </row>
    <row r="212" spans="1:7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12">
        <v>44981</v>
      </c>
      <c r="F212" s="11">
        <v>44926</v>
      </c>
      <c r="G212" s="1">
        <f>31+24</f>
        <v>55</v>
      </c>
    </row>
    <row r="213" spans="1:7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12">
        <v>45015</v>
      </c>
      <c r="F213" s="11">
        <v>44926</v>
      </c>
      <c r="G213" s="1">
        <f>31+28+30</f>
        <v>89</v>
      </c>
    </row>
    <row r="214" spans="1:7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12">
        <v>44957</v>
      </c>
      <c r="F214" s="11">
        <v>44926</v>
      </c>
      <c r="G214" s="1">
        <f>31</f>
        <v>31</v>
      </c>
    </row>
    <row r="215" spans="1:7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12">
        <v>44993</v>
      </c>
      <c r="F215" s="11">
        <v>44926</v>
      </c>
      <c r="G215" s="1">
        <f>31+28+8</f>
        <v>67</v>
      </c>
    </row>
    <row r="216" spans="1:7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12">
        <v>44974</v>
      </c>
      <c r="F216" s="11">
        <v>44926</v>
      </c>
      <c r="G216" s="1">
        <f>31+17</f>
        <v>48</v>
      </c>
    </row>
    <row r="217" spans="1:7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12">
        <v>44973</v>
      </c>
      <c r="F217" s="11">
        <v>44926</v>
      </c>
      <c r="G217" s="1">
        <f>31+16</f>
        <v>47</v>
      </c>
    </row>
    <row r="218" spans="1:7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12">
        <v>44979</v>
      </c>
      <c r="F218" s="11">
        <v>44926</v>
      </c>
      <c r="G218" s="1">
        <f>31+22</f>
        <v>53</v>
      </c>
    </row>
    <row r="219" spans="1:7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12">
        <v>45002</v>
      </c>
      <c r="F219" s="11">
        <v>44926</v>
      </c>
      <c r="G219" s="1">
        <f>31+28+17</f>
        <v>76</v>
      </c>
    </row>
    <row r="220" spans="1:7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12">
        <v>45015</v>
      </c>
      <c r="F220" s="11">
        <v>44926</v>
      </c>
      <c r="G220" s="1">
        <f>31+28+30</f>
        <v>89</v>
      </c>
    </row>
    <row r="221" spans="1:7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12">
        <v>44981</v>
      </c>
      <c r="F221" s="11">
        <v>44926</v>
      </c>
      <c r="G221" s="1">
        <f>31+24</f>
        <v>55</v>
      </c>
    </row>
    <row r="222" spans="1:7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12">
        <v>45015</v>
      </c>
      <c r="F222" s="11">
        <v>44926</v>
      </c>
      <c r="G222" s="1">
        <f>31+28+30</f>
        <v>89</v>
      </c>
    </row>
    <row r="223" spans="1:7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12">
        <v>45016</v>
      </c>
      <c r="F223" s="11">
        <v>44926</v>
      </c>
      <c r="G223" s="1">
        <f>31+28+31</f>
        <v>90</v>
      </c>
    </row>
    <row r="224" spans="1:7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12">
        <v>44974</v>
      </c>
      <c r="F224" s="11">
        <v>44926</v>
      </c>
      <c r="G224" s="1">
        <f>31+17</f>
        <v>48</v>
      </c>
    </row>
    <row r="225" spans="1:7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12">
        <v>45014</v>
      </c>
      <c r="F225" s="11">
        <v>44926</v>
      </c>
      <c r="G225" s="1">
        <f>31+28+29</f>
        <v>88</v>
      </c>
    </row>
    <row r="226" spans="1:7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12">
        <v>44992</v>
      </c>
      <c r="F226" s="11">
        <v>44926</v>
      </c>
      <c r="G226" s="1">
        <f>31+28+7</f>
        <v>66</v>
      </c>
    </row>
    <row r="227" spans="1:7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12">
        <v>44987</v>
      </c>
      <c r="F227" s="11">
        <v>44926</v>
      </c>
      <c r="G227" s="1">
        <f>31+28+2</f>
        <v>61</v>
      </c>
    </row>
    <row r="228" spans="1:7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12">
        <v>44993</v>
      </c>
      <c r="F228" s="11">
        <v>44926</v>
      </c>
      <c r="G228" s="1">
        <f>31+28+31+22</f>
        <v>112</v>
      </c>
    </row>
    <row r="229" spans="1:7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12">
        <v>45016</v>
      </c>
      <c r="F229" s="11">
        <v>44926</v>
      </c>
      <c r="G229" s="1">
        <f>31+28+31</f>
        <v>90</v>
      </c>
    </row>
    <row r="230" spans="1:7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12">
        <v>45015</v>
      </c>
      <c r="F230" s="11">
        <v>44926</v>
      </c>
      <c r="G230" s="1">
        <f>31+28+30</f>
        <v>89</v>
      </c>
    </row>
    <row r="231" spans="1:7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12">
        <v>44985</v>
      </c>
      <c r="F231" s="11">
        <v>44926</v>
      </c>
      <c r="G231" s="1">
        <f>31+28</f>
        <v>59</v>
      </c>
    </row>
    <row r="232" spans="1:7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12">
        <v>44995</v>
      </c>
      <c r="F232" s="11">
        <v>44926</v>
      </c>
      <c r="G232" s="1">
        <f>31+28+10</f>
        <v>69</v>
      </c>
    </row>
    <row r="233" spans="1:7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12">
        <v>44986</v>
      </c>
      <c r="F233" s="11">
        <v>44926</v>
      </c>
      <c r="G233" s="1">
        <f>31+28+1</f>
        <v>60</v>
      </c>
    </row>
    <row r="234" spans="1:7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12">
        <v>45002</v>
      </c>
      <c r="F234" s="11">
        <v>44926</v>
      </c>
      <c r="G234" s="1">
        <f>31+28+17</f>
        <v>76</v>
      </c>
    </row>
    <row r="235" spans="1:7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12">
        <v>44972</v>
      </c>
      <c r="F235" s="11">
        <v>44926</v>
      </c>
      <c r="G235" s="1">
        <f>31+15</f>
        <v>46</v>
      </c>
    </row>
    <row r="236" spans="1:7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12">
        <v>45016</v>
      </c>
      <c r="F236" s="11">
        <v>44926</v>
      </c>
      <c r="G236" s="1">
        <f>31+28+31</f>
        <v>90</v>
      </c>
    </row>
    <row r="237" spans="1:7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12">
        <v>44956</v>
      </c>
      <c r="F237" s="11">
        <v>44926</v>
      </c>
      <c r="G237" s="1">
        <f>30</f>
        <v>30</v>
      </c>
    </row>
    <row r="238" spans="1:7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12">
        <v>44967</v>
      </c>
      <c r="F238" s="11">
        <v>44926</v>
      </c>
      <c r="G238" s="1">
        <f>31+10</f>
        <v>41</v>
      </c>
    </row>
    <row r="239" spans="1:7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12">
        <v>45013</v>
      </c>
      <c r="F239" s="11">
        <v>44926</v>
      </c>
      <c r="G239" s="1">
        <f>31+28+28</f>
        <v>87</v>
      </c>
    </row>
    <row r="240" spans="1:7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12">
        <v>44950</v>
      </c>
      <c r="F240" s="11">
        <v>44926</v>
      </c>
      <c r="G240" s="1">
        <f>24</f>
        <v>24</v>
      </c>
    </row>
    <row r="241" spans="1:7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12">
        <v>45016</v>
      </c>
      <c r="F241" s="11">
        <v>44926</v>
      </c>
      <c r="G241" s="1">
        <f>31+28+31</f>
        <v>90</v>
      </c>
    </row>
    <row r="242" spans="1:7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12">
        <v>45015</v>
      </c>
      <c r="F242" s="11">
        <v>44926</v>
      </c>
      <c r="G242" s="1">
        <f>31+28+30</f>
        <v>89</v>
      </c>
    </row>
    <row r="243" spans="1:7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12">
        <v>45015</v>
      </c>
      <c r="F243" s="11">
        <v>44926</v>
      </c>
      <c r="G243" s="1">
        <f>31+28+30</f>
        <v>89</v>
      </c>
    </row>
    <row r="244" spans="1:7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12">
        <v>45014</v>
      </c>
      <c r="F244" s="11">
        <v>44926</v>
      </c>
      <c r="G244" s="1">
        <f>31+28+29</f>
        <v>88</v>
      </c>
    </row>
    <row r="245" spans="1:7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12">
        <v>44995</v>
      </c>
      <c r="F245" s="11">
        <v>44926</v>
      </c>
      <c r="G245" s="1">
        <f>31+28+10</f>
        <v>69</v>
      </c>
    </row>
    <row r="246" spans="1:7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12">
        <v>45014</v>
      </c>
      <c r="F246" s="11">
        <v>44926</v>
      </c>
      <c r="G246" s="1">
        <f>31+28+29</f>
        <v>88</v>
      </c>
    </row>
    <row r="247" spans="1:7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12">
        <v>45030</v>
      </c>
      <c r="F247" s="11">
        <v>44926</v>
      </c>
      <c r="G247" s="1">
        <f>31+28+31+14</f>
        <v>104</v>
      </c>
    </row>
    <row r="248" spans="1:7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12">
        <v>45015</v>
      </c>
      <c r="F248" s="11">
        <v>44926</v>
      </c>
      <c r="G248" s="1">
        <f>31+28+30</f>
        <v>89</v>
      </c>
    </row>
    <row r="249" spans="1:7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12">
        <v>45015</v>
      </c>
      <c r="F249" s="11">
        <v>44926</v>
      </c>
      <c r="G249" s="1">
        <f>31+28+30</f>
        <v>89</v>
      </c>
    </row>
    <row r="250" spans="1:7" x14ac:dyDescent="0.35">
      <c r="A250" s="4"/>
    </row>
    <row r="251" spans="1:7" x14ac:dyDescent="0.35">
      <c r="A251" s="4"/>
    </row>
    <row r="252" spans="1:7" x14ac:dyDescent="0.35">
      <c r="A252" s="4"/>
    </row>
    <row r="253" spans="1:7" x14ac:dyDescent="0.35">
      <c r="A253" s="4"/>
    </row>
    <row r="254" spans="1:7" x14ac:dyDescent="0.35">
      <c r="A254" s="4"/>
    </row>
    <row r="255" spans="1:7" x14ac:dyDescent="0.35">
      <c r="A255" s="4"/>
    </row>
    <row r="256" spans="1:7" x14ac:dyDescent="0.35">
      <c r="A256" s="4"/>
    </row>
    <row r="257" spans="1:6" x14ac:dyDescent="0.35">
      <c r="A257" s="50"/>
    </row>
    <row r="258" spans="1:6" x14ac:dyDescent="0.35">
      <c r="A258" s="56"/>
    </row>
    <row r="262" spans="1:6" ht="15.5" x14ac:dyDescent="0.35">
      <c r="B262" s="52"/>
      <c r="C262" s="52"/>
      <c r="D262" s="2"/>
      <c r="E262" s="58"/>
      <c r="F262" s="59"/>
    </row>
    <row r="263" spans="1:6" ht="15.5" x14ac:dyDescent="0.35">
      <c r="B263" s="52"/>
      <c r="C263" s="52"/>
      <c r="D263" s="2"/>
      <c r="E263" s="58"/>
      <c r="F263" s="59"/>
    </row>
    <row r="264" spans="1:6" ht="15.5" x14ac:dyDescent="0.35">
      <c r="B264" s="52"/>
      <c r="C264" s="52"/>
      <c r="D264" s="2"/>
      <c r="E264" s="58"/>
      <c r="F264" s="59"/>
    </row>
    <row r="265" spans="1:6" ht="15.5" x14ac:dyDescent="0.35">
      <c r="B265" s="52"/>
      <c r="C265" s="52"/>
      <c r="D265" s="2"/>
      <c r="E265" s="58"/>
      <c r="F265" s="59"/>
    </row>
  </sheetData>
  <phoneticPr fontId="11" type="noConversion"/>
  <pageMargins left="0.7" right="0.7" top="0.75" bottom="0.75" header="0.3" footer="0.3"/>
  <pageSetup paperSize="9" orientation="portrait" r:id="rId1"/>
  <ignoredErrors>
    <ignoredError sqref="G21 G240 G101 G119 G164 G212 G221 G242 G24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1"/>
  <sheetViews>
    <sheetView topLeftCell="A231" zoomScaleNormal="100" workbookViewId="0">
      <selection activeCell="E234" sqref="E234"/>
    </sheetView>
  </sheetViews>
  <sheetFormatPr defaultRowHeight="14.5" x14ac:dyDescent="0.35"/>
  <cols>
    <col min="1" max="1" width="9.1796875" style="2"/>
    <col min="2" max="2" width="17.26953125" customWidth="1"/>
    <col min="3" max="3" width="39.1796875" customWidth="1"/>
    <col min="4" max="4" width="13.81640625" customWidth="1"/>
    <col min="5" max="5" width="24.453125" customWidth="1"/>
    <col min="6" max="6" width="9.7265625" customWidth="1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6</v>
      </c>
      <c r="E1" s="5" t="s">
        <v>11</v>
      </c>
      <c r="F1" s="5" t="s">
        <v>12</v>
      </c>
    </row>
    <row r="2" spans="1:6" ht="15.5" x14ac:dyDescent="0.35">
      <c r="A2" s="4">
        <v>1</v>
      </c>
      <c r="B2" s="17" t="s">
        <v>26</v>
      </c>
      <c r="C2" s="18" t="s">
        <v>239</v>
      </c>
      <c r="D2" s="4">
        <v>2019</v>
      </c>
      <c r="E2" s="14">
        <v>76715290000000</v>
      </c>
      <c r="F2" s="9">
        <f>LN(E2)</f>
        <v>31.971122152544083</v>
      </c>
    </row>
    <row r="3" spans="1:6" ht="15.5" x14ac:dyDescent="0.35">
      <c r="A3" s="4">
        <v>2</v>
      </c>
      <c r="B3" s="17" t="s">
        <v>29</v>
      </c>
      <c r="C3" s="17" t="s">
        <v>30</v>
      </c>
      <c r="D3" s="4">
        <v>2019</v>
      </c>
      <c r="E3" s="7">
        <v>12117478069</v>
      </c>
      <c r="F3" s="9">
        <f t="shared" ref="F3:F15" si="0">LN(E3)</f>
        <v>23.217914715820399</v>
      </c>
    </row>
    <row r="4" spans="1:6" ht="15.5" x14ac:dyDescent="0.35">
      <c r="A4" s="4">
        <v>3</v>
      </c>
      <c r="B4" s="17" t="s">
        <v>31</v>
      </c>
      <c r="C4" s="17" t="s">
        <v>32</v>
      </c>
      <c r="D4" s="4">
        <v>2019</v>
      </c>
      <c r="E4" s="7">
        <v>3475230000000</v>
      </c>
      <c r="F4" s="9">
        <f t="shared" si="0"/>
        <v>28.876681779805399</v>
      </c>
    </row>
    <row r="5" spans="1:6" ht="15.5" x14ac:dyDescent="0.35">
      <c r="A5" s="4">
        <v>4</v>
      </c>
      <c r="B5" s="17" t="s">
        <v>33</v>
      </c>
      <c r="C5" s="17" t="s">
        <v>34</v>
      </c>
      <c r="D5" s="4">
        <v>2019</v>
      </c>
      <c r="E5" s="14">
        <v>136698444824</v>
      </c>
      <c r="F5" s="9">
        <f t="shared" si="0"/>
        <v>25.641043204049787</v>
      </c>
    </row>
    <row r="6" spans="1:6" ht="15.5" x14ac:dyDescent="0.35">
      <c r="A6" s="4">
        <v>5</v>
      </c>
      <c r="B6" s="17" t="s">
        <v>35</v>
      </c>
      <c r="C6" s="17" t="s">
        <v>36</v>
      </c>
      <c r="D6" s="4">
        <v>2019</v>
      </c>
      <c r="E6" s="7">
        <v>2423706043201</v>
      </c>
      <c r="F6" s="9">
        <f t="shared" si="0"/>
        <v>28.51631890747538</v>
      </c>
    </row>
    <row r="7" spans="1:6" ht="15.5" x14ac:dyDescent="0.35">
      <c r="A7" s="4">
        <v>6</v>
      </c>
      <c r="B7" s="17" t="s">
        <v>37</v>
      </c>
      <c r="C7" s="17" t="s">
        <v>38</v>
      </c>
      <c r="D7" s="4">
        <v>2019</v>
      </c>
      <c r="E7" s="7">
        <v>180706987000000</v>
      </c>
      <c r="F7" s="9">
        <f t="shared" si="0"/>
        <v>32.827897979076937</v>
      </c>
    </row>
    <row r="8" spans="1:6" ht="15.5" x14ac:dyDescent="0.35">
      <c r="A8" s="4">
        <v>7</v>
      </c>
      <c r="B8" s="17" t="s">
        <v>39</v>
      </c>
      <c r="C8" s="17" t="s">
        <v>40</v>
      </c>
      <c r="D8" s="4">
        <v>2019</v>
      </c>
      <c r="E8" s="7">
        <v>13147503000000</v>
      </c>
      <c r="F8" s="9">
        <f t="shared" si="0"/>
        <v>30.207252970590147</v>
      </c>
    </row>
    <row r="9" spans="1:6" ht="15.5" x14ac:dyDescent="0.35">
      <c r="A9" s="4">
        <v>8</v>
      </c>
      <c r="B9" s="17" t="s">
        <v>43</v>
      </c>
      <c r="C9" s="17" t="s">
        <v>44</v>
      </c>
      <c r="D9" s="4">
        <v>2019</v>
      </c>
      <c r="E9" s="7">
        <v>2579654391000</v>
      </c>
      <c r="F9" s="9">
        <f t="shared" si="0"/>
        <v>28.578676548912291</v>
      </c>
    </row>
    <row r="10" spans="1:6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7">
        <v>35116853000000</v>
      </c>
      <c r="F10" s="9">
        <f t="shared" si="0"/>
        <v>31.189702273619009</v>
      </c>
    </row>
    <row r="11" spans="1:6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7">
        <v>4626630367000</v>
      </c>
      <c r="F11" s="9">
        <f t="shared" si="0"/>
        <v>29.162849936559038</v>
      </c>
    </row>
    <row r="12" spans="1:6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7">
        <v>3652947899747</v>
      </c>
      <c r="F12" s="9">
        <f t="shared" si="0"/>
        <v>28.926555601320523</v>
      </c>
    </row>
    <row r="13" spans="1:6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14">
        <v>857520585000</v>
      </c>
      <c r="F13" s="9">
        <f t="shared" si="0"/>
        <v>27.477311021529275</v>
      </c>
    </row>
    <row r="14" spans="1:6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7">
        <v>1158038755000</v>
      </c>
      <c r="F14" s="9">
        <f t="shared" si="0"/>
        <v>27.777748961704141</v>
      </c>
    </row>
    <row r="15" spans="1:6" ht="15.5" x14ac:dyDescent="0.35">
      <c r="A15" s="4">
        <v>14</v>
      </c>
      <c r="B15" s="17" t="s">
        <v>66</v>
      </c>
      <c r="C15" s="42" t="s">
        <v>67</v>
      </c>
      <c r="D15" s="4">
        <v>2019</v>
      </c>
      <c r="E15" s="7">
        <v>918989312000000</v>
      </c>
      <c r="F15" s="9">
        <f t="shared" si="0"/>
        <v>34.454295608183962</v>
      </c>
    </row>
    <row r="16" spans="1:6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7">
        <v>5051402000000</v>
      </c>
      <c r="F16" s="9">
        <f t="shared" ref="F16:F44" si="1">LN(E16)</f>
        <v>29.250686944447846</v>
      </c>
    </row>
    <row r="17" spans="1:6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7">
        <v>12900218775263</v>
      </c>
      <c r="F17" s="9">
        <f t="shared" si="1"/>
        <v>30.188265386475081</v>
      </c>
    </row>
    <row r="18" spans="1:6" ht="15.5" x14ac:dyDescent="0.35">
      <c r="A18" s="4">
        <v>17</v>
      </c>
      <c r="B18" s="17" t="s">
        <v>76</v>
      </c>
      <c r="C18" s="42" t="s">
        <v>77</v>
      </c>
      <c r="D18" s="4">
        <v>2019</v>
      </c>
      <c r="E18" s="7">
        <v>845605208000000</v>
      </c>
      <c r="F18" s="9">
        <f t="shared" si="1"/>
        <v>34.371073709406005</v>
      </c>
    </row>
    <row r="19" spans="1:6" ht="15.5" x14ac:dyDescent="0.35">
      <c r="A19" s="4">
        <v>18</v>
      </c>
      <c r="B19" s="17" t="s">
        <v>78</v>
      </c>
      <c r="C19" s="42" t="s">
        <v>79</v>
      </c>
      <c r="D19" s="4">
        <v>2019</v>
      </c>
      <c r="E19" s="7">
        <v>1416758840000000</v>
      </c>
      <c r="F19" s="9">
        <f t="shared" si="1"/>
        <v>34.88714815059177</v>
      </c>
    </row>
    <row r="20" spans="1:6" ht="15.5" x14ac:dyDescent="0.35">
      <c r="A20" s="4">
        <v>19</v>
      </c>
      <c r="B20" s="17" t="s">
        <v>80</v>
      </c>
      <c r="C20" s="42" t="s">
        <v>81</v>
      </c>
      <c r="D20" s="4">
        <v>2019</v>
      </c>
      <c r="E20" s="7">
        <v>311776828000000</v>
      </c>
      <c r="F20" s="9">
        <f t="shared" si="1"/>
        <v>33.373308752920799</v>
      </c>
    </row>
    <row r="21" spans="1:6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7">
        <v>18385005000000</v>
      </c>
      <c r="F21" s="9">
        <f t="shared" si="1"/>
        <v>30.542556502642583</v>
      </c>
    </row>
    <row r="22" spans="1:6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7">
        <v>193533970000000</v>
      </c>
      <c r="F22" s="9">
        <f t="shared" si="1"/>
        <v>32.896474168545865</v>
      </c>
    </row>
    <row r="23" spans="1:6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7">
        <v>19089633000000</v>
      </c>
      <c r="F23" s="9">
        <f t="shared" si="1"/>
        <v>30.580166528756418</v>
      </c>
    </row>
    <row r="24" spans="1:6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7">
        <v>4809743000000</v>
      </c>
      <c r="F24" s="9">
        <f t="shared" si="1"/>
        <v>29.201664768265335</v>
      </c>
    </row>
    <row r="25" spans="1:6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7">
        <v>5492915651332</v>
      </c>
      <c r="F25" s="9">
        <f t="shared" si="1"/>
        <v>29.334480314506102</v>
      </c>
    </row>
    <row r="26" spans="1:6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7">
        <v>123536474000000</v>
      </c>
      <c r="F26" s="9">
        <f t="shared" si="1"/>
        <v>32.447557564425864</v>
      </c>
    </row>
    <row r="27" spans="1:6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7">
        <v>7569580138000</v>
      </c>
      <c r="F27" s="9">
        <f t="shared" si="1"/>
        <v>29.655158717903134</v>
      </c>
    </row>
    <row r="28" spans="1:6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7">
        <v>1318246335000000</v>
      </c>
      <c r="F28" s="9">
        <f t="shared" si="1"/>
        <v>34.815078714134238</v>
      </c>
    </row>
    <row r="29" spans="1:6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7">
        <v>7607653715376</v>
      </c>
      <c r="F29" s="9">
        <f t="shared" si="1"/>
        <v>29.660175924280871</v>
      </c>
    </row>
    <row r="30" spans="1:6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7">
        <v>274467227000000</v>
      </c>
      <c r="F30" s="9">
        <f t="shared" si="1"/>
        <v>33.245852978129257</v>
      </c>
    </row>
    <row r="31" spans="1:6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7">
        <v>169082830000000</v>
      </c>
      <c r="F31" s="9">
        <f t="shared" si="1"/>
        <v>32.761409829126052</v>
      </c>
    </row>
    <row r="32" spans="1:6" ht="15.5" x14ac:dyDescent="0.35">
      <c r="A32" s="4">
        <v>31</v>
      </c>
      <c r="B32" s="17" t="s">
        <v>110</v>
      </c>
      <c r="C32" s="42" t="s">
        <v>111</v>
      </c>
      <c r="D32" s="4">
        <v>2019</v>
      </c>
      <c r="E32" s="7">
        <v>161451259000000</v>
      </c>
      <c r="F32" s="9">
        <f t="shared" si="1"/>
        <v>32.715224411182326</v>
      </c>
    </row>
    <row r="33" spans="1:6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7">
        <v>1821625639974</v>
      </c>
      <c r="F33" s="9">
        <f t="shared" si="1"/>
        <v>28.230750427120597</v>
      </c>
    </row>
    <row r="34" spans="1:6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7">
        <v>2695471913420</v>
      </c>
      <c r="F34" s="9">
        <f t="shared" si="1"/>
        <v>28.622594411980472</v>
      </c>
    </row>
    <row r="35" spans="1:6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7">
        <v>181631385000000</v>
      </c>
      <c r="F35" s="9">
        <f t="shared" si="1"/>
        <v>32.833000392053108</v>
      </c>
    </row>
    <row r="36" spans="1:6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7">
        <v>15484342922485</v>
      </c>
      <c r="F36" s="9">
        <f t="shared" si="1"/>
        <v>30.370850495291311</v>
      </c>
    </row>
    <row r="37" spans="1:6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7">
        <v>4938822000000</v>
      </c>
      <c r="F37" s="9">
        <f t="shared" si="1"/>
        <v>29.228147957153446</v>
      </c>
    </row>
    <row r="38" spans="1:6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7">
        <v>18893684000000</v>
      </c>
      <c r="F38" s="9">
        <f t="shared" si="1"/>
        <v>30.569848802249421</v>
      </c>
    </row>
    <row r="39" spans="1:6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7">
        <v>118357444000000</v>
      </c>
      <c r="F39" s="9">
        <f t="shared" si="1"/>
        <v>32.404730348093885</v>
      </c>
    </row>
    <row r="40" spans="1:6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7">
        <v>4726154000000</v>
      </c>
      <c r="F40" s="9">
        <f t="shared" si="1"/>
        <v>29.18413287985851</v>
      </c>
    </row>
    <row r="41" spans="1:6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7">
        <v>2332899849906</v>
      </c>
      <c r="F41" s="9">
        <f t="shared" si="1"/>
        <v>28.478133180445052</v>
      </c>
    </row>
    <row r="42" spans="1:6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7">
        <v>211287370000000</v>
      </c>
      <c r="F42" s="9">
        <f t="shared" si="1"/>
        <v>32.984240265929259</v>
      </c>
    </row>
    <row r="43" spans="1:6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7">
        <v>32244734000000</v>
      </c>
      <c r="F43" s="9">
        <f t="shared" si="1"/>
        <v>31.104375859015878</v>
      </c>
    </row>
    <row r="44" spans="1:6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7">
        <v>30289386000000</v>
      </c>
      <c r="F44" s="9">
        <f t="shared" si="1"/>
        <v>31.041818470045833</v>
      </c>
    </row>
    <row r="45" spans="1:6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7">
        <v>36936262000000</v>
      </c>
      <c r="F45" s="9">
        <f>LN(E45)</f>
        <v>31.240214894458738</v>
      </c>
    </row>
    <row r="46" spans="1:6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7">
        <v>26657523000000</v>
      </c>
      <c r="F46" s="9">
        <f t="shared" ref="F46:F55" si="2">LN(E46)</f>
        <v>30.914092515634959</v>
      </c>
    </row>
    <row r="47" spans="1:6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7">
        <v>3050556600000</v>
      </c>
      <c r="F47" s="9">
        <f t="shared" si="2"/>
        <v>28.746345181701543</v>
      </c>
    </row>
    <row r="48" spans="1:6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7">
        <v>314245000000</v>
      </c>
      <c r="F48" s="9">
        <f t="shared" si="2"/>
        <v>26.473438773391223</v>
      </c>
    </row>
    <row r="49" spans="1:6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7">
        <v>8271170000000</v>
      </c>
      <c r="F49" s="9">
        <f t="shared" si="2"/>
        <v>29.743797090169082</v>
      </c>
    </row>
    <row r="50" spans="1:6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7">
        <v>35981240000000</v>
      </c>
      <c r="F50" s="9">
        <f t="shared" si="2"/>
        <v>31.214018807447964</v>
      </c>
    </row>
    <row r="51" spans="1:6" ht="15.5" x14ac:dyDescent="0.35">
      <c r="A51" s="4">
        <v>50</v>
      </c>
      <c r="B51" s="17" t="s">
        <v>190</v>
      </c>
      <c r="C51" s="42" t="s">
        <v>191</v>
      </c>
      <c r="D51" s="4">
        <v>2019</v>
      </c>
      <c r="E51" s="14">
        <v>43123488000000</v>
      </c>
      <c r="F51" s="9">
        <f t="shared" si="2"/>
        <v>31.395088929795861</v>
      </c>
    </row>
    <row r="52" spans="1:6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7">
        <v>15383038000000</v>
      </c>
      <c r="F52" s="9">
        <f t="shared" si="2"/>
        <v>30.364286589758489</v>
      </c>
    </row>
    <row r="53" spans="1:6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7">
        <v>20734506631000</v>
      </c>
      <c r="F53" s="9">
        <f t="shared" si="2"/>
        <v>30.662820415324038</v>
      </c>
    </row>
    <row r="54" spans="1:6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7">
        <v>106548732013</v>
      </c>
      <c r="F54" s="9">
        <f t="shared" si="2"/>
        <v>25.391868295026047</v>
      </c>
    </row>
    <row r="55" spans="1:6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7">
        <v>953737479075</v>
      </c>
      <c r="F55" s="9">
        <f t="shared" si="2"/>
        <v>27.583654291359299</v>
      </c>
    </row>
    <row r="56" spans="1:6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7">
        <v>401007159459</v>
      </c>
      <c r="F56" s="9">
        <f t="shared" ref="F56:F63" si="3">LN(E56)</f>
        <v>26.717245118106067</v>
      </c>
    </row>
    <row r="57" spans="1:6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7">
        <v>99625400000000</v>
      </c>
      <c r="F57" s="9">
        <f t="shared" si="3"/>
        <v>32.232438268087328</v>
      </c>
    </row>
    <row r="58" spans="1:6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7">
        <v>579813156839</v>
      </c>
      <c r="F58" s="9">
        <f t="shared" si="3"/>
        <v>27.085971745206518</v>
      </c>
    </row>
    <row r="59" spans="1:6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7">
        <v>1212066160000</v>
      </c>
      <c r="F59" s="9">
        <f t="shared" si="3"/>
        <v>27.823347589544575</v>
      </c>
    </row>
    <row r="60" spans="1:6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7">
        <v>14412875999590</v>
      </c>
      <c r="F60" s="9">
        <f t="shared" si="3"/>
        <v>30.299143089619854</v>
      </c>
    </row>
    <row r="61" spans="1:6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7">
        <v>1548001829554</v>
      </c>
      <c r="F61" s="9">
        <f t="shared" si="3"/>
        <v>28.067986072977813</v>
      </c>
    </row>
    <row r="62" spans="1:6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7">
        <v>10607879000000</v>
      </c>
      <c r="F62" s="9">
        <f t="shared" si="3"/>
        <v>29.992618142821328</v>
      </c>
    </row>
    <row r="63" spans="1:6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7">
        <v>18959622000000</v>
      </c>
      <c r="F63" s="9">
        <f t="shared" si="3"/>
        <v>30.573332675847823</v>
      </c>
    </row>
    <row r="64" spans="1:6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7">
        <v>83619452000000</v>
      </c>
      <c r="F64" s="9">
        <f t="shared" ref="F64:F95" si="4">LN(E64)</f>
        <v>32.057297288379381</v>
      </c>
    </row>
    <row r="65" spans="1:6" ht="15.5" x14ac:dyDescent="0.35">
      <c r="A65" s="4">
        <v>64</v>
      </c>
      <c r="B65" s="17" t="s">
        <v>29</v>
      </c>
      <c r="C65" s="60" t="s">
        <v>30</v>
      </c>
      <c r="D65" s="4">
        <v>2020</v>
      </c>
      <c r="E65" s="7">
        <v>10917456216</v>
      </c>
      <c r="F65" s="9">
        <f t="shared" si="4"/>
        <v>23.113628832873996</v>
      </c>
    </row>
    <row r="66" spans="1:6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7">
        <v>5184821000000</v>
      </c>
      <c r="F66" s="9">
        <f t="shared" si="4"/>
        <v>29.276756434352595</v>
      </c>
    </row>
    <row r="67" spans="1:6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7">
        <v>141322097298</v>
      </c>
      <c r="F67" s="9">
        <f t="shared" si="4"/>
        <v>25.674307500099946</v>
      </c>
    </row>
    <row r="68" spans="1:6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7">
        <v>2815578393095</v>
      </c>
      <c r="F68" s="9">
        <f t="shared" si="4"/>
        <v>28.666188824654281</v>
      </c>
    </row>
    <row r="69" spans="1:6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7">
        <v>206297200000000</v>
      </c>
      <c r="F69" s="9">
        <f t="shared" si="4"/>
        <v>32.960338963446368</v>
      </c>
    </row>
    <row r="70" spans="1:6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7">
        <v>13737934000000</v>
      </c>
      <c r="F70" s="9">
        <f t="shared" si="4"/>
        <v>30.251182027515949</v>
      </c>
    </row>
    <row r="71" spans="1:6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7">
        <v>2467880020000</v>
      </c>
      <c r="F71" s="9">
        <f t="shared" si="4"/>
        <v>28.534380606527417</v>
      </c>
    </row>
    <row r="72" spans="1:6" ht="15.5" x14ac:dyDescent="0.35">
      <c r="A72" s="4">
        <v>71</v>
      </c>
      <c r="B72" s="17" t="s">
        <v>45</v>
      </c>
      <c r="C72" s="17" t="s">
        <v>235</v>
      </c>
      <c r="D72" s="4">
        <v>2020</v>
      </c>
      <c r="E72" s="7">
        <v>8441051000000</v>
      </c>
      <c r="F72" s="9">
        <f t="shared" si="4"/>
        <v>29.764127942850038</v>
      </c>
    </row>
    <row r="73" spans="1:6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7">
        <v>4737130041000</v>
      </c>
      <c r="F73" s="9">
        <f t="shared" si="4"/>
        <v>29.186452591678286</v>
      </c>
    </row>
    <row r="74" spans="1:6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7">
        <v>4881911874208</v>
      </c>
      <c r="F74" s="9">
        <f t="shared" si="4"/>
        <v>29.216558036570476</v>
      </c>
    </row>
    <row r="75" spans="1:6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7">
        <v>871769183000</v>
      </c>
      <c r="F75" s="9">
        <f t="shared" si="4"/>
        <v>27.493790527422092</v>
      </c>
    </row>
    <row r="76" spans="1:6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7">
        <v>859876511000</v>
      </c>
      <c r="F76" s="9">
        <f t="shared" si="4"/>
        <v>27.4800546240232</v>
      </c>
    </row>
    <row r="77" spans="1:6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7">
        <v>1075570256000000</v>
      </c>
      <c r="F77" s="9">
        <f t="shared" si="4"/>
        <v>34.611627386538146</v>
      </c>
    </row>
    <row r="78" spans="1:6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7">
        <v>4115895000000</v>
      </c>
      <c r="F78" s="9">
        <f t="shared" si="4"/>
        <v>29.045877423370879</v>
      </c>
    </row>
    <row r="79" spans="1:6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7">
        <v>14159755232533</v>
      </c>
      <c r="F79" s="9">
        <f t="shared" si="4"/>
        <v>30.281424918206657</v>
      </c>
    </row>
    <row r="80" spans="1:6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7">
        <v>891337425000000</v>
      </c>
      <c r="F80" s="9">
        <f t="shared" si="4"/>
        <v>34.423744175412914</v>
      </c>
    </row>
    <row r="81" spans="1:6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7">
        <v>1511804628000000</v>
      </c>
      <c r="F81" s="9">
        <f t="shared" si="4"/>
        <v>34.952080450033428</v>
      </c>
    </row>
    <row r="82" spans="1:6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7">
        <v>361208406000000</v>
      </c>
      <c r="F82" s="9">
        <f t="shared" si="4"/>
        <v>33.520476209625826</v>
      </c>
    </row>
    <row r="83" spans="1:6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7">
        <v>19101546000000</v>
      </c>
      <c r="F83" s="9">
        <f t="shared" si="4"/>
        <v>30.580790390113851</v>
      </c>
    </row>
    <row r="84" spans="1:6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7">
        <v>200890068000000</v>
      </c>
      <c r="F84" s="9">
        <f t="shared" si="4"/>
        <v>32.933778948996249</v>
      </c>
    </row>
    <row r="85" spans="1:6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7">
        <v>15200531000000</v>
      </c>
      <c r="F85" s="9">
        <f t="shared" si="4"/>
        <v>30.35235147738112</v>
      </c>
    </row>
    <row r="86" spans="1:6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7">
        <v>5365456000000</v>
      </c>
      <c r="F86" s="9">
        <f t="shared" si="4"/>
        <v>29.311002483739479</v>
      </c>
    </row>
    <row r="87" spans="1:6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7">
        <v>8437685000000</v>
      </c>
      <c r="F87" s="9">
        <f t="shared" si="4"/>
        <v>29.763729097812753</v>
      </c>
    </row>
    <row r="88" spans="1:6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7">
        <v>140934002000000</v>
      </c>
      <c r="F88" s="9">
        <f t="shared" si="4"/>
        <v>32.579312825805339</v>
      </c>
    </row>
    <row r="89" spans="1:6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7">
        <v>10110519691000</v>
      </c>
      <c r="F89" s="9">
        <f t="shared" si="4"/>
        <v>29.944597551299548</v>
      </c>
    </row>
    <row r="90" spans="1:6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7">
        <v>1429334484000000</v>
      </c>
      <c r="F90" s="9">
        <f t="shared" si="4"/>
        <v>34.895985335048067</v>
      </c>
    </row>
    <row r="91" spans="1:6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7">
        <v>7637524325854</v>
      </c>
      <c r="F91" s="9">
        <f t="shared" si="4"/>
        <v>29.664094625475723</v>
      </c>
    </row>
    <row r="92" spans="1:6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7">
        <v>280943605000000</v>
      </c>
      <c r="F92" s="9">
        <f t="shared" si="4"/>
        <v>33.269175071170388</v>
      </c>
    </row>
    <row r="93" spans="1:6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7">
        <v>173224412000000</v>
      </c>
      <c r="F93" s="9">
        <f t="shared" si="4"/>
        <v>32.785609049007022</v>
      </c>
    </row>
    <row r="94" spans="1:6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7">
        <v>197726097000000</v>
      </c>
      <c r="F94" s="9">
        <f t="shared" si="4"/>
        <v>32.917903840428387</v>
      </c>
    </row>
    <row r="95" spans="1:6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7">
        <v>1472642352942</v>
      </c>
      <c r="F95" s="9">
        <f t="shared" si="4"/>
        <v>28.018079422123431</v>
      </c>
    </row>
    <row r="96" spans="1:6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7">
        <v>2798907230186</v>
      </c>
      <c r="F96" s="9">
        <f t="shared" ref="F96:F106" si="5">LN(E96)</f>
        <v>28.660250181999054</v>
      </c>
    </row>
    <row r="97" spans="1:6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7">
        <v>183165978000000</v>
      </c>
      <c r="F97" s="9">
        <f t="shared" si="5"/>
        <v>32.841413841315429</v>
      </c>
    </row>
    <row r="98" spans="1:6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7">
        <v>17233361869538</v>
      </c>
      <c r="F98" s="9">
        <f t="shared" si="5"/>
        <v>30.477868264646062</v>
      </c>
    </row>
    <row r="99" spans="1:6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7">
        <v>4460807000000</v>
      </c>
      <c r="F99" s="9">
        <f t="shared" si="5"/>
        <v>29.126350807296582</v>
      </c>
    </row>
    <row r="100" spans="1:6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7">
        <v>25235573000000</v>
      </c>
      <c r="F100" s="9">
        <f t="shared" si="5"/>
        <v>30.859275742021335</v>
      </c>
    </row>
    <row r="101" spans="1:6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7">
        <v>112282629000000</v>
      </c>
      <c r="F101" s="9">
        <f t="shared" si="5"/>
        <v>32.352040281825701</v>
      </c>
    </row>
    <row r="102" spans="1:6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7">
        <v>4210393000000</v>
      </c>
      <c r="F102" s="9">
        <f t="shared" si="5"/>
        <v>29.06857710843472</v>
      </c>
    </row>
    <row r="103" spans="1:6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7">
        <v>2966070675948</v>
      </c>
      <c r="F103" s="9">
        <f t="shared" si="5"/>
        <v>28.718259188068412</v>
      </c>
    </row>
    <row r="104" spans="1:6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7">
        <v>218067091000000</v>
      </c>
      <c r="F104" s="9">
        <f t="shared" si="5"/>
        <v>33.015823888250935</v>
      </c>
    </row>
    <row r="105" spans="1:6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7">
        <v>34211725000000</v>
      </c>
      <c r="F105" s="9">
        <f t="shared" si="5"/>
        <v>31.163589537499497</v>
      </c>
    </row>
    <row r="106" spans="1:6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7">
        <v>32381721000000</v>
      </c>
      <c r="F106" s="9">
        <f t="shared" si="5"/>
        <v>31.108615212858272</v>
      </c>
    </row>
    <row r="107" spans="1:6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7">
        <v>38053939000000</v>
      </c>
      <c r="F107" s="9">
        <f t="shared" ref="F107:F125" si="6">LN(E107)</f>
        <v>31.270025716560241</v>
      </c>
    </row>
    <row r="108" spans="1:6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7">
        <v>35048949000000</v>
      </c>
      <c r="F108" s="9">
        <f t="shared" si="6"/>
        <v>31.187766743224902</v>
      </c>
    </row>
    <row r="109" spans="1:6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7">
        <v>2676388593000</v>
      </c>
      <c r="F109" s="9">
        <f t="shared" si="6"/>
        <v>28.615489461777539</v>
      </c>
    </row>
    <row r="110" spans="1:6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7">
        <v>325525285622</v>
      </c>
      <c r="F110" s="9">
        <f t="shared" si="6"/>
        <v>26.50870597798037</v>
      </c>
    </row>
    <row r="111" spans="1:6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7">
        <v>5283702000000</v>
      </c>
      <c r="F111" s="9">
        <f t="shared" si="6"/>
        <v>29.295648104329086</v>
      </c>
    </row>
    <row r="112" spans="1:6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7">
        <v>33838539000000</v>
      </c>
      <c r="F112" s="9">
        <f t="shared" si="6"/>
        <v>31.152621475975693</v>
      </c>
    </row>
    <row r="113" spans="1:6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7">
        <v>57715586000000</v>
      </c>
      <c r="F113" s="9">
        <f t="shared" si="6"/>
        <v>31.686548374283564</v>
      </c>
    </row>
    <row r="114" spans="1:6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7">
        <v>16435005000000</v>
      </c>
      <c r="F114" s="9">
        <f t="shared" si="6"/>
        <v>30.430434627273463</v>
      </c>
    </row>
    <row r="115" spans="1:6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7">
        <v>19460094655000</v>
      </c>
      <c r="F115" s="9">
        <f t="shared" si="6"/>
        <v>30.599387056754743</v>
      </c>
    </row>
    <row r="116" spans="1:6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7">
        <v>336398988799</v>
      </c>
      <c r="F116" s="9">
        <f t="shared" si="6"/>
        <v>26.541563759092412</v>
      </c>
    </row>
    <row r="117" spans="1:6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7">
        <v>1441234275187</v>
      </c>
      <c r="F117" s="9">
        <f t="shared" si="6"/>
        <v>27.996520997932084</v>
      </c>
    </row>
    <row r="118" spans="1:6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7">
        <v>651765765501</v>
      </c>
      <c r="F118" s="9">
        <f t="shared" si="6"/>
        <v>27.202951078958829</v>
      </c>
    </row>
    <row r="119" spans="1:6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7">
        <v>108456227000000</v>
      </c>
      <c r="F119" s="9">
        <f t="shared" si="6"/>
        <v>32.317367769718125</v>
      </c>
    </row>
    <row r="120" spans="1:6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7">
        <v>497557497473</v>
      </c>
      <c r="F120" s="9">
        <f t="shared" si="6"/>
        <v>26.932976959677084</v>
      </c>
    </row>
    <row r="121" spans="1:6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7">
        <v>1103815967000</v>
      </c>
      <c r="F121" s="9">
        <f t="shared" si="6"/>
        <v>27.729794353330064</v>
      </c>
    </row>
    <row r="122" spans="1:6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7">
        <v>21537936008109</v>
      </c>
      <c r="F122" s="9">
        <f t="shared" si="6"/>
        <v>30.700836961715076</v>
      </c>
    </row>
    <row r="123" spans="1:6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7">
        <v>1516582973028</v>
      </c>
      <c r="F123" s="9">
        <f t="shared" si="6"/>
        <v>28.047480876081778</v>
      </c>
    </row>
    <row r="124" spans="1:6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7">
        <v>11652904000000</v>
      </c>
      <c r="F124" s="9">
        <f t="shared" si="6"/>
        <v>30.086576535263823</v>
      </c>
    </row>
    <row r="125" spans="1:6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7">
        <v>20223558000000</v>
      </c>
      <c r="F125" s="9">
        <f t="shared" si="6"/>
        <v>30.637869278432646</v>
      </c>
    </row>
    <row r="126" spans="1:6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7">
        <v>100723330000000</v>
      </c>
      <c r="F126" s="9">
        <f t="shared" ref="F126:F157" si="7">LN(E126)</f>
        <v>32.243398567072035</v>
      </c>
    </row>
    <row r="127" spans="1:6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7">
        <f>7123904019000+0</f>
        <v>7123904019000</v>
      </c>
      <c r="F127" s="9">
        <f t="shared" si="7"/>
        <v>29.594477008356726</v>
      </c>
    </row>
    <row r="128" spans="1:6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7">
        <f>5087106000000+0</f>
        <v>5087106000000</v>
      </c>
      <c r="F128" s="9">
        <f t="shared" si="7"/>
        <v>29.257730218980821</v>
      </c>
    </row>
    <row r="129" spans="1:6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7">
        <v>153713575228</v>
      </c>
      <c r="F129" s="9">
        <f t="shared" si="7"/>
        <v>25.758356806479469</v>
      </c>
    </row>
    <row r="130" spans="1:6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7">
        <v>2923286260687</v>
      </c>
      <c r="F130" s="9">
        <f t="shared" si="7"/>
        <v>28.703729531127316</v>
      </c>
    </row>
    <row r="131" spans="1:6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7">
        <v>214395608000000</v>
      </c>
      <c r="F131" s="9">
        <f t="shared" si="7"/>
        <v>32.998844059840749</v>
      </c>
    </row>
    <row r="132" spans="1:6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7">
        <v>20742643000000</v>
      </c>
      <c r="F132" s="9">
        <f t="shared" si="7"/>
        <v>30.663212745519182</v>
      </c>
    </row>
    <row r="133" spans="1:6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7">
        <v>2501390090000</v>
      </c>
      <c r="F133" s="9">
        <f t="shared" si="7"/>
        <v>28.547867729271967</v>
      </c>
    </row>
    <row r="134" spans="1:6" ht="15.5" x14ac:dyDescent="0.35">
      <c r="A134" s="4">
        <v>133</v>
      </c>
      <c r="B134" s="17" t="s">
        <v>45</v>
      </c>
      <c r="C134" s="17" t="s">
        <v>235</v>
      </c>
      <c r="D134" s="4">
        <v>2021</v>
      </c>
      <c r="E134" s="7">
        <v>23725885000000</v>
      </c>
      <c r="F134" s="9">
        <f t="shared" si="7"/>
        <v>30.797587762152425</v>
      </c>
    </row>
    <row r="135" spans="1:6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7">
        <v>4652817906000</v>
      </c>
      <c r="F135" s="9">
        <f t="shared" si="7"/>
        <v>29.168494153273503</v>
      </c>
    </row>
    <row r="136" spans="1:6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7">
        <v>5936609239750</v>
      </c>
      <c r="F136" s="9">
        <f t="shared" si="7"/>
        <v>29.412159251255819</v>
      </c>
    </row>
    <row r="137" spans="1:6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7">
        <v>954657152000</v>
      </c>
      <c r="F137" s="9">
        <f t="shared" si="7"/>
        <v>27.584618109828725</v>
      </c>
    </row>
    <row r="138" spans="1:6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7">
        <v>822740369000</v>
      </c>
      <c r="F138" s="9">
        <f t="shared" si="7"/>
        <v>27.435906518836866</v>
      </c>
    </row>
    <row r="139" spans="1:6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7">
        <v>1228344680000000</v>
      </c>
      <c r="F139" s="9">
        <f t="shared" si="7"/>
        <v>34.744443869290329</v>
      </c>
    </row>
    <row r="140" spans="1:6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7">
        <v>3582868000000</v>
      </c>
      <c r="F140" s="9">
        <f t="shared" si="7"/>
        <v>28.907184712936395</v>
      </c>
    </row>
    <row r="141" spans="1:6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7">
        <v>15983152301240</v>
      </c>
      <c r="F141" s="9">
        <f t="shared" si="7"/>
        <v>30.402556302221676</v>
      </c>
    </row>
    <row r="142" spans="1:6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7">
        <v>964837692000000</v>
      </c>
      <c r="F142" s="9">
        <f t="shared" si="7"/>
        <v>34.502981008302548</v>
      </c>
    </row>
    <row r="143" spans="1:6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7">
        <v>1678097734000000</v>
      </c>
      <c r="F143" s="9">
        <f t="shared" si="7"/>
        <v>35.056437245598062</v>
      </c>
    </row>
    <row r="144" spans="1:6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7">
        <v>371868311000000</v>
      </c>
      <c r="F144" s="9">
        <f t="shared" si="7"/>
        <v>33.54956090483978</v>
      </c>
    </row>
    <row r="145" spans="1:6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7">
        <v>21653968000000</v>
      </c>
      <c r="F145" s="9">
        <f t="shared" si="7"/>
        <v>30.706209833029149</v>
      </c>
    </row>
    <row r="146" spans="1:6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7">
        <v>192239698000000</v>
      </c>
      <c r="F146" s="9">
        <f t="shared" si="7"/>
        <v>32.889764136402555</v>
      </c>
    </row>
    <row r="147" spans="1:6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7">
        <v>15635739000000</v>
      </c>
      <c r="F147" s="9">
        <f t="shared" si="7"/>
        <v>30.380580371471282</v>
      </c>
    </row>
    <row r="148" spans="1:6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7">
        <v>8575950000000</v>
      </c>
      <c r="F148" s="9">
        <f t="shared" si="7"/>
        <v>29.779982890016118</v>
      </c>
    </row>
    <row r="149" spans="1:6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7">
        <v>15055850000000</v>
      </c>
      <c r="F149" s="9">
        <f t="shared" si="7"/>
        <v>30.342787735916417</v>
      </c>
    </row>
    <row r="150" spans="1:6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7">
        <v>158356097000000</v>
      </c>
      <c r="F150" s="9">
        <f t="shared" si="7"/>
        <v>32.695867391487404</v>
      </c>
    </row>
    <row r="151" spans="1:6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7">
        <v>14234358584000</v>
      </c>
      <c r="F151" s="9">
        <f t="shared" si="7"/>
        <v>30.286679776563624</v>
      </c>
    </row>
    <row r="152" spans="1:6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7">
        <v>1725611128000000</v>
      </c>
      <c r="F152" s="9">
        <f t="shared" si="7"/>
        <v>35.08435765975414</v>
      </c>
    </row>
    <row r="153" spans="1:6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7">
        <v>8666525828600</v>
      </c>
      <c r="F153" s="9">
        <f t="shared" si="7"/>
        <v>29.790489114603727</v>
      </c>
    </row>
    <row r="154" spans="1:6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7">
        <v>310786960000000</v>
      </c>
      <c r="F154" s="9">
        <f t="shared" si="7"/>
        <v>33.370128777299897</v>
      </c>
    </row>
    <row r="155" spans="1:6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7">
        <v>168758476000000</v>
      </c>
      <c r="F155" s="9">
        <f t="shared" si="7"/>
        <v>32.759489672567945</v>
      </c>
    </row>
    <row r="156" spans="1:6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7">
        <v>234379042000000</v>
      </c>
      <c r="F156" s="9">
        <f t="shared" si="7"/>
        <v>33.087960758371182</v>
      </c>
    </row>
    <row r="157" spans="1:6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7">
        <v>1297609119758</v>
      </c>
      <c r="F157" s="9">
        <f t="shared" si="7"/>
        <v>27.891544548456412</v>
      </c>
    </row>
    <row r="158" spans="1:6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7">
        <v>2964069016813</v>
      </c>
      <c r="F158" s="9">
        <f t="shared" ref="F158:F168" si="8">LN(E158)</f>
        <v>28.717584108115926</v>
      </c>
    </row>
    <row r="159" spans="1:6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7">
        <v>191917794000000</v>
      </c>
      <c r="F159" s="9">
        <f t="shared" si="8"/>
        <v>32.888088240021268</v>
      </c>
    </row>
    <row r="160" spans="1:6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7">
        <v>18046214000000</v>
      </c>
      <c r="F160" s="9">
        <f t="shared" si="8"/>
        <v>30.523957028014163</v>
      </c>
    </row>
    <row r="161" spans="1:6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7">
        <v>5543310000000</v>
      </c>
      <c r="F161" s="9">
        <f t="shared" si="8"/>
        <v>29.343612911196043</v>
      </c>
    </row>
    <row r="162" spans="1:6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7">
        <v>26194548000000</v>
      </c>
      <c r="F162" s="9">
        <f t="shared" si="8"/>
        <v>30.896572413438484</v>
      </c>
    </row>
    <row r="163" spans="1:6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7">
        <v>132879390000000</v>
      </c>
      <c r="F163" s="9">
        <f t="shared" si="8"/>
        <v>32.52046299061498</v>
      </c>
    </row>
    <row r="164" spans="1:6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7">
        <v>5345296000000</v>
      </c>
      <c r="F164" s="9">
        <f t="shared" si="8"/>
        <v>29.307238037730951</v>
      </c>
    </row>
    <row r="165" spans="1:6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7">
        <v>2054791094477</v>
      </c>
      <c r="F165" s="9">
        <f t="shared" si="8"/>
        <v>28.351195301520494</v>
      </c>
    </row>
    <row r="166" spans="1:6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7">
        <v>204462542000000</v>
      </c>
      <c r="F166" s="9">
        <f t="shared" si="8"/>
        <v>32.951405905929811</v>
      </c>
    </row>
    <row r="167" spans="1:6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7">
        <v>35275479000000</v>
      </c>
      <c r="F167" s="9">
        <f t="shared" si="8"/>
        <v>31.194209192597203</v>
      </c>
    </row>
    <row r="168" spans="1:6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7">
        <v>33192581000000</v>
      </c>
      <c r="F168" s="9">
        <f t="shared" si="8"/>
        <v>31.133347503023803</v>
      </c>
    </row>
    <row r="169" spans="1:6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7">
        <v>43801571000000</v>
      </c>
      <c r="F169" s="9">
        <f t="shared" ref="F169:F187" si="9">LN(E169)</f>
        <v>31.410690800247632</v>
      </c>
    </row>
    <row r="170" spans="1:6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7">
        <v>61151527000000</v>
      </c>
      <c r="F170" s="9">
        <f t="shared" si="9"/>
        <v>31.744375949131797</v>
      </c>
    </row>
    <row r="171" spans="1:6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7">
        <v>1819841840000</v>
      </c>
      <c r="F171" s="9">
        <f t="shared" si="9"/>
        <v>28.229770712142233</v>
      </c>
    </row>
    <row r="172" spans="1:6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7">
        <v>350941420850</v>
      </c>
      <c r="F172" s="9">
        <f t="shared" si="9"/>
        <v>26.583885154318988</v>
      </c>
    </row>
    <row r="173" spans="1:6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7">
        <v>5151084000000</v>
      </c>
      <c r="F173" s="9">
        <f t="shared" si="9"/>
        <v>29.270228293892135</v>
      </c>
    </row>
    <row r="174" spans="1:6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7">
        <v>38129561000000</v>
      </c>
      <c r="F174" s="9">
        <f t="shared" si="9"/>
        <v>31.272010976487579</v>
      </c>
    </row>
    <row r="175" spans="1:6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7">
        <v>265289081000000</v>
      </c>
      <c r="F175" s="9">
        <f t="shared" si="9"/>
        <v>33.211841219044715</v>
      </c>
    </row>
    <row r="176" spans="1:6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7">
        <v>18543856000000</v>
      </c>
      <c r="F176" s="9">
        <f t="shared" si="9"/>
        <v>30.551159637180866</v>
      </c>
    </row>
    <row r="177" spans="1:6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7">
        <v>20188056012000</v>
      </c>
      <c r="F177" s="9">
        <f t="shared" si="9"/>
        <v>30.636112258922232</v>
      </c>
    </row>
    <row r="178" spans="1:6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7">
        <v>393128000000</v>
      </c>
      <c r="F178" s="9">
        <f t="shared" si="9"/>
        <v>26.69740109553257</v>
      </c>
    </row>
    <row r="179" spans="1:6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7">
        <v>2476075485358</v>
      </c>
      <c r="F179" s="9">
        <f t="shared" si="9"/>
        <v>28.537695957102823</v>
      </c>
    </row>
    <row r="180" spans="1:6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7">
        <v>736066661447</v>
      </c>
      <c r="F180" s="9">
        <f t="shared" si="9"/>
        <v>27.324586524192043</v>
      </c>
    </row>
    <row r="181" spans="1:6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7">
        <v>117509999000000</v>
      </c>
      <c r="F181" s="9">
        <f t="shared" si="9"/>
        <v>32.397544543764482</v>
      </c>
    </row>
    <row r="182" spans="1:6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7">
        <v>508447134690</v>
      </c>
      <c r="F182" s="9">
        <f t="shared" si="9"/>
        <v>26.954627083785635</v>
      </c>
    </row>
    <row r="183" spans="1:6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7">
        <v>1396548426000</v>
      </c>
      <c r="F183" s="9">
        <f t="shared" si="9"/>
        <v>27.965024898422151</v>
      </c>
    </row>
    <row r="184" spans="1:6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7">
        <v>23203123481350</v>
      </c>
      <c r="F184" s="9">
        <f t="shared" si="9"/>
        <v>30.775308018355439</v>
      </c>
    </row>
    <row r="185" spans="1:6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7">
        <v>1411160148272</v>
      </c>
      <c r="F185" s="9">
        <f t="shared" si="9"/>
        <v>27.975433282197017</v>
      </c>
    </row>
    <row r="186" spans="1:6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7">
        <v>14015360000000</v>
      </c>
      <c r="F186" s="9">
        <f t="shared" si="9"/>
        <v>30.271174986979581</v>
      </c>
    </row>
    <row r="187" spans="1:6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7">
        <v>22325883000000</v>
      </c>
      <c r="F187" s="9">
        <f t="shared" si="9"/>
        <v>30.736767793980619</v>
      </c>
    </row>
    <row r="188" spans="1:6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7">
        <v>103031367000000</v>
      </c>
      <c r="F188" s="9">
        <f t="shared" ref="F188:F197" si="10">LN(E188)</f>
        <v>32.266054591777703</v>
      </c>
    </row>
    <row r="189" spans="1:6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7">
        <v>8049255816000</v>
      </c>
      <c r="F189" s="9">
        <f t="shared" si="10"/>
        <v>29.716600757868306</v>
      </c>
    </row>
    <row r="190" spans="1:6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7">
        <v>4655875000000</v>
      </c>
      <c r="F190" s="9">
        <f t="shared" si="10"/>
        <v>29.169150978918257</v>
      </c>
    </row>
    <row r="191" spans="1:6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7">
        <v>162856818189</v>
      </c>
      <c r="F191" s="9">
        <f t="shared" si="10"/>
        <v>25.816137235701337</v>
      </c>
    </row>
    <row r="192" spans="1:6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7">
        <v>2930664711078</v>
      </c>
      <c r="F192" s="9">
        <f t="shared" si="10"/>
        <v>28.706250377076959</v>
      </c>
    </row>
    <row r="193" spans="1:6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7">
        <v>238498560000000</v>
      </c>
      <c r="F193" s="9">
        <f t="shared" si="10"/>
        <v>33.10538438850287</v>
      </c>
    </row>
    <row r="194" spans="1:6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7">
        <v>22116366000000</v>
      </c>
      <c r="F194" s="9">
        <f t="shared" si="10"/>
        <v>30.727338993372019</v>
      </c>
    </row>
    <row r="195" spans="1:6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7">
        <v>2472105924000</v>
      </c>
      <c r="F195" s="9">
        <f t="shared" si="10"/>
        <v>28.536091504120542</v>
      </c>
    </row>
    <row r="196" spans="1:6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7">
        <v>24897205000000</v>
      </c>
      <c r="F196" s="9">
        <f t="shared" si="10"/>
        <v>30.845776664102836</v>
      </c>
    </row>
    <row r="197" spans="1:6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7">
        <v>4705846343000</v>
      </c>
      <c r="F197" s="9">
        <f t="shared" si="10"/>
        <v>29.179826754404438</v>
      </c>
    </row>
    <row r="198" spans="1:6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7">
        <v>6857140243488</v>
      </c>
      <c r="F198" s="9">
        <f t="shared" ref="F198:F226" si="11">LN(E198)</f>
        <v>29.556311596623054</v>
      </c>
    </row>
    <row r="199" spans="1:6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7">
        <v>989810930000</v>
      </c>
      <c r="F199" s="9">
        <f t="shared" si="11"/>
        <v>27.620779782038102</v>
      </c>
    </row>
    <row r="200" spans="1:6" ht="15.5" x14ac:dyDescent="0.35">
      <c r="A200" s="4">
        <v>199</v>
      </c>
      <c r="B200" s="17" t="s">
        <v>60</v>
      </c>
      <c r="C200" s="17" t="s">
        <v>61</v>
      </c>
      <c r="D200" s="4">
        <v>2022</v>
      </c>
      <c r="E200" s="7">
        <v>888973513000</v>
      </c>
      <c r="F200" s="9">
        <f t="shared" si="11"/>
        <v>27.51333327786573</v>
      </c>
    </row>
    <row r="201" spans="1:6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7">
        <v>1314731674000000</v>
      </c>
      <c r="F201" s="9">
        <f t="shared" si="11"/>
        <v>34.812408989529224</v>
      </c>
    </row>
    <row r="202" spans="1:6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7">
        <v>4630150000000</v>
      </c>
      <c r="F202" s="9">
        <f t="shared" si="11"/>
        <v>29.163610380910114</v>
      </c>
    </row>
    <row r="203" spans="1:6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7">
        <v>16583990927531</v>
      </c>
      <c r="F203" s="9">
        <f t="shared" si="11"/>
        <v>30.439458944000311</v>
      </c>
    </row>
    <row r="204" spans="1:6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7">
        <v>1029838868000000</v>
      </c>
      <c r="F204" s="9">
        <f t="shared" si="11"/>
        <v>34.568178746079447</v>
      </c>
    </row>
    <row r="205" spans="1:6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7">
        <v>1865639010000000</v>
      </c>
      <c r="F205" s="9">
        <f t="shared" si="11"/>
        <v>35.162380022029055</v>
      </c>
    </row>
    <row r="206" spans="1:6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7">
        <v>402148312000000</v>
      </c>
      <c r="F206" s="9">
        <f t="shared" si="11"/>
        <v>33.627842071831047</v>
      </c>
    </row>
    <row r="207" spans="1:6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7">
        <v>24306227000000</v>
      </c>
      <c r="F207" s="9">
        <f t="shared" si="11"/>
        <v>30.821753688591343</v>
      </c>
    </row>
    <row r="208" spans="1:6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7">
        <v>197729688000000</v>
      </c>
      <c r="F208" s="9">
        <f t="shared" si="11"/>
        <v>32.917922001750775</v>
      </c>
    </row>
    <row r="209" spans="1:6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7">
        <v>21929634000000</v>
      </c>
      <c r="F209" s="9">
        <f t="shared" si="11"/>
        <v>30.718859988752591</v>
      </c>
    </row>
    <row r="210" spans="1:6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7">
        <v>8968132000000</v>
      </c>
      <c r="F210" s="9">
        <f t="shared" si="11"/>
        <v>29.824698520590974</v>
      </c>
    </row>
    <row r="211" spans="1:6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7">
        <v>20522736000000</v>
      </c>
      <c r="F211" s="9">
        <f t="shared" si="11"/>
        <v>30.652554460676352</v>
      </c>
    </row>
    <row r="212" spans="1:6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7">
        <v>181241291000000</v>
      </c>
      <c r="F212" s="9">
        <f t="shared" si="11"/>
        <v>32.830850358853738</v>
      </c>
    </row>
    <row r="213" spans="1:6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7">
        <v>14956302274000</v>
      </c>
      <c r="F213" s="9">
        <f t="shared" si="11"/>
        <v>30.336153883724442</v>
      </c>
    </row>
    <row r="214" spans="1:6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7">
        <v>1992544687000000</v>
      </c>
      <c r="F214" s="9">
        <f t="shared" si="11"/>
        <v>35.228188953944937</v>
      </c>
    </row>
    <row r="215" spans="1:6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7">
        <v>8211291790399</v>
      </c>
      <c r="F215" s="9">
        <f t="shared" si="11"/>
        <v>29.736531370547844</v>
      </c>
    </row>
    <row r="216" spans="1:6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7">
        <v>306754299000000</v>
      </c>
      <c r="F216" s="9">
        <f t="shared" si="11"/>
        <v>33.357068214091292</v>
      </c>
    </row>
    <row r="217" spans="1:6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7">
        <v>160813918000000</v>
      </c>
      <c r="F217" s="9">
        <f t="shared" si="11"/>
        <v>32.71126902365414</v>
      </c>
    </row>
    <row r="218" spans="1:6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7">
        <v>255112471000000</v>
      </c>
      <c r="F218" s="9">
        <f t="shared" si="11"/>
        <v>33.172725626592488</v>
      </c>
    </row>
    <row r="219" spans="1:6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7">
        <v>1316472328512</v>
      </c>
      <c r="F219" s="9">
        <f t="shared" si="11"/>
        <v>27.905976796681244</v>
      </c>
    </row>
    <row r="220" spans="1:6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7">
        <v>3278744462524</v>
      </c>
      <c r="F220" s="9">
        <f t="shared" si="11"/>
        <v>28.818481679227556</v>
      </c>
    </row>
    <row r="221" spans="1:6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7">
        <v>209169704000000</v>
      </c>
      <c r="F221" s="9">
        <f t="shared" si="11"/>
        <v>32.974167019276486</v>
      </c>
    </row>
    <row r="222" spans="1:6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7">
        <v>18918152000000</v>
      </c>
      <c r="F222" s="9">
        <f t="shared" si="11"/>
        <v>30.571143000363218</v>
      </c>
    </row>
    <row r="223" spans="1:6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7">
        <v>5636441000000</v>
      </c>
      <c r="F223" s="9">
        <f t="shared" si="11"/>
        <v>29.360273953887521</v>
      </c>
    </row>
    <row r="224" spans="1:6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7">
        <v>25022953000000</v>
      </c>
      <c r="F224" s="9">
        <f t="shared" si="11"/>
        <v>30.850814639582378</v>
      </c>
    </row>
    <row r="225" spans="1:6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7">
        <v>180338966000000</v>
      </c>
      <c r="F225" s="9">
        <f t="shared" si="11"/>
        <v>32.82585934036959</v>
      </c>
    </row>
    <row r="226" spans="1:6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7">
        <v>6568387000000</v>
      </c>
      <c r="F226" s="9">
        <f t="shared" si="11"/>
        <v>29.513289408389124</v>
      </c>
    </row>
    <row r="227" spans="1:6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7">
        <v>2102240427904</v>
      </c>
      <c r="F227" s="9">
        <f t="shared" ref="F227:F249" si="12">LN(E227)</f>
        <v>28.374024762386597</v>
      </c>
    </row>
    <row r="228" spans="1:6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7">
        <v>33868608000000</v>
      </c>
      <c r="F228" s="9">
        <f t="shared" si="12"/>
        <v>31.153509683596575</v>
      </c>
    </row>
    <row r="229" spans="1:6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7">
        <v>35694847000000</v>
      </c>
      <c r="F229" s="9">
        <f t="shared" si="12"/>
        <v>31.206027452559177</v>
      </c>
    </row>
    <row r="230" spans="1:6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7">
        <v>33868608000000</v>
      </c>
      <c r="F230" s="9">
        <f t="shared" si="12"/>
        <v>31.153509683596575</v>
      </c>
    </row>
    <row r="231" spans="1:6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7">
        <v>51499424000000</v>
      </c>
      <c r="F231" s="9">
        <f t="shared" si="12"/>
        <v>31.572591739069672</v>
      </c>
    </row>
    <row r="232" spans="1:6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7">
        <v>63771150000000</v>
      </c>
      <c r="F232" s="9">
        <f t="shared" si="12"/>
        <v>31.786322009651226</v>
      </c>
    </row>
    <row r="233" spans="1:6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7">
        <v>2109833544000</v>
      </c>
      <c r="F233" s="9">
        <f t="shared" si="12"/>
        <v>28.377630171205087</v>
      </c>
    </row>
    <row r="234" spans="1:6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7">
        <v>374678000000</v>
      </c>
      <c r="F234" s="9">
        <f t="shared" si="12"/>
        <v>26.649332827384764</v>
      </c>
    </row>
    <row r="235" spans="1:6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7">
        <v>5646226000000</v>
      </c>
      <c r="F235" s="9">
        <f t="shared" si="12"/>
        <v>29.362008473297379</v>
      </c>
    </row>
    <row r="236" spans="1:6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7">
        <v>34937618000000</v>
      </c>
      <c r="F236" s="9">
        <f t="shared" si="12"/>
        <v>31.184585244297914</v>
      </c>
    </row>
    <row r="237" spans="1:6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7">
        <v>305727438000000</v>
      </c>
      <c r="F237" s="9">
        <f t="shared" si="12"/>
        <v>33.353715095459059</v>
      </c>
    </row>
    <row r="238" spans="1:6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7">
        <v>21161976000000</v>
      </c>
      <c r="F238" s="9">
        <f t="shared" si="12"/>
        <v>30.683227102301569</v>
      </c>
    </row>
    <row r="239" spans="1:6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7">
        <v>21581305468000</v>
      </c>
      <c r="F239" s="9">
        <f t="shared" si="12"/>
        <v>30.702848568275446</v>
      </c>
    </row>
    <row r="240" spans="1:6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7">
        <v>393081000000</v>
      </c>
      <c r="F240" s="9">
        <f t="shared" si="12"/>
        <v>26.697281534448798</v>
      </c>
    </row>
    <row r="241" spans="1:6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7">
        <v>3313589745696</v>
      </c>
      <c r="F241" s="9">
        <f t="shared" si="12"/>
        <v>28.829053232971642</v>
      </c>
    </row>
    <row r="242" spans="1:6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7">
        <v>1038909850191</v>
      </c>
      <c r="F242" s="9">
        <f t="shared" si="12"/>
        <v>27.669193058343819</v>
      </c>
    </row>
    <row r="243" spans="1:6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7">
        <v>114406803000000</v>
      </c>
      <c r="F243" s="9">
        <f t="shared" si="12"/>
        <v>32.370781659889381</v>
      </c>
    </row>
    <row r="244" spans="1:6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7">
        <v>509387241941</v>
      </c>
      <c r="F244" s="9">
        <f t="shared" si="12"/>
        <v>26.956474353911148</v>
      </c>
    </row>
    <row r="245" spans="1:6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7">
        <v>1601438462000</v>
      </c>
      <c r="F245" s="9">
        <f t="shared" si="12"/>
        <v>28.101923380031007</v>
      </c>
    </row>
    <row r="246" spans="1:6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7">
        <v>21271327194429</v>
      </c>
      <c r="F246" s="9">
        <f t="shared" si="12"/>
        <v>30.688381140675435</v>
      </c>
    </row>
    <row r="247" spans="1:6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7">
        <v>1627241657686</v>
      </c>
      <c r="F247" s="9">
        <f t="shared" si="12"/>
        <v>28.117907462752491</v>
      </c>
    </row>
    <row r="248" spans="1:6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7">
        <v>16862363000000</v>
      </c>
      <c r="F248" s="9">
        <f t="shared" si="12"/>
        <v>30.456105212892723</v>
      </c>
    </row>
    <row r="249" spans="1:6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7">
        <v>20628501000000</v>
      </c>
      <c r="F249" s="9">
        <f t="shared" si="12"/>
        <v>30.65769477919871</v>
      </c>
    </row>
    <row r="250" spans="1:6" x14ac:dyDescent="0.35">
      <c r="A250" s="4">
        <v>249</v>
      </c>
    </row>
    <row r="251" spans="1:6" x14ac:dyDescent="0.35">
      <c r="A251" s="4">
        <v>250</v>
      </c>
    </row>
    <row r="252" spans="1:6" x14ac:dyDescent="0.35">
      <c r="A252" s="4">
        <v>251</v>
      </c>
    </row>
    <row r="253" spans="1:6" x14ac:dyDescent="0.35">
      <c r="A253" s="4">
        <v>252</v>
      </c>
    </row>
    <row r="254" spans="1:6" x14ac:dyDescent="0.35">
      <c r="A254" s="4">
        <v>253</v>
      </c>
    </row>
    <row r="255" spans="1:6" x14ac:dyDescent="0.35">
      <c r="A255" s="4">
        <v>254</v>
      </c>
    </row>
    <row r="256" spans="1:6" x14ac:dyDescent="0.35">
      <c r="A256" s="4">
        <v>255</v>
      </c>
    </row>
    <row r="257" spans="1:4" x14ac:dyDescent="0.35">
      <c r="A257" s="50">
        <v>256</v>
      </c>
    </row>
    <row r="258" spans="1:4" ht="15.5" x14ac:dyDescent="0.35">
      <c r="A258" s="56"/>
      <c r="B258" s="57"/>
      <c r="C258" s="57"/>
      <c r="D258" s="56"/>
    </row>
    <row r="259" spans="1:4" ht="15.5" x14ac:dyDescent="0.35">
      <c r="B259" s="52"/>
      <c r="C259" s="52"/>
      <c r="D259" s="2"/>
    </row>
    <row r="260" spans="1:4" ht="15.5" x14ac:dyDescent="0.35">
      <c r="B260" s="52"/>
      <c r="C260" s="52"/>
      <c r="D260" s="2"/>
    </row>
    <row r="261" spans="1:4" ht="15.5" x14ac:dyDescent="0.35">
      <c r="B261" s="52"/>
      <c r="C261" s="52"/>
      <c r="D261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9"/>
  <sheetViews>
    <sheetView topLeftCell="A220" workbookViewId="0">
      <selection activeCell="F225" sqref="F225"/>
    </sheetView>
  </sheetViews>
  <sheetFormatPr defaultRowHeight="14.5" x14ac:dyDescent="0.35"/>
  <cols>
    <col min="1" max="1" width="9.1796875" style="2"/>
    <col min="2" max="2" width="17.26953125" customWidth="1"/>
    <col min="3" max="3" width="39.1796875" customWidth="1"/>
    <col min="4" max="4" width="13.81640625" customWidth="1"/>
    <col min="5" max="5" width="21.453125" customWidth="1"/>
    <col min="6" max="6" width="24.81640625" customWidth="1"/>
    <col min="7" max="7" width="9.54296875" bestFit="1" customWidth="1"/>
  </cols>
  <sheetData>
    <row r="1" spans="1:7" ht="30" customHeight="1" x14ac:dyDescent="0.35">
      <c r="A1" s="5" t="s">
        <v>0</v>
      </c>
      <c r="B1" s="5" t="s">
        <v>1</v>
      </c>
      <c r="C1" s="5" t="s">
        <v>2</v>
      </c>
      <c r="D1" s="5" t="s">
        <v>6</v>
      </c>
      <c r="E1" s="8" t="s">
        <v>13</v>
      </c>
      <c r="F1" s="5" t="s">
        <v>11</v>
      </c>
      <c r="G1" s="5" t="s">
        <v>14</v>
      </c>
    </row>
    <row r="2" spans="1:7" ht="15.5" x14ac:dyDescent="0.35">
      <c r="A2" s="4">
        <v>1</v>
      </c>
      <c r="B2" s="17" t="s">
        <v>26</v>
      </c>
      <c r="C2" s="18" t="s">
        <v>239</v>
      </c>
      <c r="D2" s="4">
        <v>2019</v>
      </c>
      <c r="E2" s="7">
        <v>1376505000000</v>
      </c>
      <c r="F2" s="7">
        <v>76715290000000</v>
      </c>
      <c r="G2" s="9">
        <f>E2/F2</f>
        <v>1.7943033259732188E-2</v>
      </c>
    </row>
    <row r="3" spans="1:7" ht="15.5" x14ac:dyDescent="0.35">
      <c r="A3" s="4">
        <v>2</v>
      </c>
      <c r="B3" s="17" t="s">
        <v>29</v>
      </c>
      <c r="C3" s="17" t="s">
        <v>30</v>
      </c>
      <c r="D3" s="4">
        <v>2019</v>
      </c>
      <c r="E3" s="7">
        <f>361596020</f>
        <v>361596020</v>
      </c>
      <c r="F3" s="7">
        <v>12117478069</v>
      </c>
      <c r="G3" s="9">
        <f t="shared" ref="G3:G40" si="0">E3/F3</f>
        <v>2.9840864406024122E-2</v>
      </c>
    </row>
    <row r="4" spans="1:7" ht="15.5" x14ac:dyDescent="0.35">
      <c r="A4" s="4">
        <v>3</v>
      </c>
      <c r="B4" s="17" t="s">
        <v>31</v>
      </c>
      <c r="C4" s="17" t="s">
        <v>32</v>
      </c>
      <c r="D4" s="4">
        <v>2019</v>
      </c>
      <c r="E4" s="7">
        <v>133709000000</v>
      </c>
      <c r="F4" s="7">
        <v>3475230000000</v>
      </c>
      <c r="G4" s="9">
        <f t="shared" si="0"/>
        <v>3.8474863534212124E-2</v>
      </c>
    </row>
    <row r="5" spans="1:7" ht="15.5" x14ac:dyDescent="0.35">
      <c r="A5" s="4">
        <v>4</v>
      </c>
      <c r="B5" s="17" t="s">
        <v>33</v>
      </c>
      <c r="C5" s="17" t="s">
        <v>34</v>
      </c>
      <c r="D5" s="4">
        <v>2019</v>
      </c>
      <c r="E5" s="7">
        <v>5951348123</v>
      </c>
      <c r="F5" s="14">
        <v>136698444824</v>
      </c>
      <c r="G5" s="9">
        <f t="shared" si="0"/>
        <v>4.3536326478786157E-2</v>
      </c>
    </row>
    <row r="6" spans="1:7" ht="15.5" x14ac:dyDescent="0.35">
      <c r="A6" s="4">
        <v>5</v>
      </c>
      <c r="B6" s="17" t="s">
        <v>35</v>
      </c>
      <c r="C6" s="17" t="s">
        <v>36</v>
      </c>
      <c r="D6" s="4">
        <v>2019</v>
      </c>
      <c r="E6" s="7">
        <v>80002543527</v>
      </c>
      <c r="F6" s="7">
        <v>2423706043201</v>
      </c>
      <c r="G6" s="9">
        <f t="shared" si="0"/>
        <v>3.3008352539873304E-2</v>
      </c>
    </row>
    <row r="7" spans="1:7" ht="15.5" x14ac:dyDescent="0.35">
      <c r="A7" s="4">
        <v>6</v>
      </c>
      <c r="B7" s="17" t="s">
        <v>37</v>
      </c>
      <c r="C7" s="17" t="s">
        <v>38</v>
      </c>
      <c r="D7" s="4">
        <v>2019</v>
      </c>
      <c r="E7" s="7">
        <v>2939243000000</v>
      </c>
      <c r="F7" s="7">
        <v>180706987000000</v>
      </c>
      <c r="G7" s="9">
        <f t="shared" si="0"/>
        <v>1.6265242693687322E-2</v>
      </c>
    </row>
    <row r="8" spans="1:7" ht="15.5" x14ac:dyDescent="0.35">
      <c r="A8" s="4">
        <v>7</v>
      </c>
      <c r="B8" s="17" t="s">
        <v>39</v>
      </c>
      <c r="C8" s="17" t="s">
        <v>40</v>
      </c>
      <c r="D8" s="4">
        <v>2019</v>
      </c>
      <c r="E8" s="7">
        <v>45794000000</v>
      </c>
      <c r="F8" s="7">
        <v>13147503000000</v>
      </c>
      <c r="G8" s="9">
        <f t="shared" si="0"/>
        <v>3.4830948507864955E-3</v>
      </c>
    </row>
    <row r="9" spans="1:7" ht="15.5" x14ac:dyDescent="0.35">
      <c r="A9" s="4">
        <v>8</v>
      </c>
      <c r="B9" s="17" t="s">
        <v>43</v>
      </c>
      <c r="C9" s="17" t="s">
        <v>44</v>
      </c>
      <c r="D9" s="4">
        <v>2019</v>
      </c>
      <c r="E9" s="7">
        <v>87524342000</v>
      </c>
      <c r="F9" s="7">
        <v>2579654391000</v>
      </c>
      <c r="G9" s="9">
        <f t="shared" si="0"/>
        <v>3.3928708553114084E-2</v>
      </c>
    </row>
    <row r="10" spans="1:7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7">
        <v>2108691000000</v>
      </c>
      <c r="F10" s="7">
        <v>35116853000000</v>
      </c>
      <c r="G10" s="9">
        <f t="shared" si="0"/>
        <v>6.0047835151971048E-2</v>
      </c>
    </row>
    <row r="11" spans="1:7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7">
        <v>73060310000</v>
      </c>
      <c r="F11" s="7">
        <v>4626630367000</v>
      </c>
      <c r="G11" s="9">
        <f t="shared" si="0"/>
        <v>1.5791257179547234E-2</v>
      </c>
    </row>
    <row r="12" spans="1:7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7">
        <v>102897273401</v>
      </c>
      <c r="F12" s="7">
        <v>3652947899747</v>
      </c>
      <c r="G12" s="9">
        <f t="shared" si="0"/>
        <v>2.8168283869618446E-2</v>
      </c>
    </row>
    <row r="13" spans="1:7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13">
        <v>8009060000</v>
      </c>
      <c r="F13" s="7">
        <v>871769183000</v>
      </c>
      <c r="G13" s="9">
        <f>E13/F13</f>
        <v>9.1871336543907171E-3</v>
      </c>
    </row>
    <row r="14" spans="1:7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7">
        <v>27839061000</v>
      </c>
      <c r="F14" s="7">
        <v>1158038755000</v>
      </c>
      <c r="G14" s="9">
        <f t="shared" si="0"/>
        <v>2.4039835350760777E-2</v>
      </c>
    </row>
    <row r="15" spans="1:7" ht="15.5" x14ac:dyDescent="0.35">
      <c r="A15" s="4">
        <v>14</v>
      </c>
      <c r="B15" s="17" t="s">
        <v>66</v>
      </c>
      <c r="C15" s="17" t="s">
        <v>67</v>
      </c>
      <c r="D15" s="4">
        <v>2019</v>
      </c>
      <c r="E15" s="7">
        <v>28569974000000</v>
      </c>
      <c r="F15" s="7">
        <v>918989312000000</v>
      </c>
      <c r="G15" s="9">
        <f t="shared" si="0"/>
        <v>3.1088472550157363E-2</v>
      </c>
    </row>
    <row r="16" spans="1:7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7">
        <v>59269000000</v>
      </c>
      <c r="F16" s="7">
        <v>5051402000000</v>
      </c>
      <c r="G16" s="9">
        <f t="shared" si="0"/>
        <v>1.1733178234478269E-2</v>
      </c>
    </row>
    <row r="17" spans="1:7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7">
        <v>247573726183</v>
      </c>
      <c r="F17" s="7">
        <v>12900218775263</v>
      </c>
      <c r="G17" s="9">
        <f t="shared" si="0"/>
        <v>1.9191436245851779E-2</v>
      </c>
    </row>
    <row r="18" spans="1:7" ht="15.5" x14ac:dyDescent="0.35">
      <c r="A18" s="4">
        <v>17</v>
      </c>
      <c r="B18" s="17" t="s">
        <v>76</v>
      </c>
      <c r="C18" s="17" t="s">
        <v>77</v>
      </c>
      <c r="D18" s="4">
        <v>2019</v>
      </c>
      <c r="E18" s="7">
        <v>15508583000000</v>
      </c>
      <c r="F18" s="7">
        <v>845605208000000</v>
      </c>
      <c r="G18" s="9">
        <f t="shared" si="0"/>
        <v>1.8340216986932275E-2</v>
      </c>
    </row>
    <row r="19" spans="1:7" ht="15.5" x14ac:dyDescent="0.35">
      <c r="A19" s="4">
        <v>18</v>
      </c>
      <c r="B19" s="17" t="s">
        <v>78</v>
      </c>
      <c r="C19" s="17" t="s">
        <v>79</v>
      </c>
      <c r="D19" s="4">
        <v>2019</v>
      </c>
      <c r="E19" s="13">
        <v>34413825000000</v>
      </c>
      <c r="F19" s="7">
        <v>1416758840000000</v>
      </c>
      <c r="G19" s="9">
        <f>E19/F19</f>
        <v>2.4290531337005809E-2</v>
      </c>
    </row>
    <row r="20" spans="1:7" ht="15.5" x14ac:dyDescent="0.35">
      <c r="A20" s="4">
        <v>19</v>
      </c>
      <c r="B20" s="17" t="s">
        <v>80</v>
      </c>
      <c r="C20" s="17" t="s">
        <v>81</v>
      </c>
      <c r="D20" s="4">
        <v>2019</v>
      </c>
      <c r="E20" s="7">
        <v>209263000000</v>
      </c>
      <c r="F20" s="7">
        <v>311776828000000</v>
      </c>
      <c r="G20" s="9">
        <f t="shared" si="0"/>
        <v>6.7119484582093441E-4</v>
      </c>
    </row>
    <row r="21" spans="1:7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7">
        <v>56482000000</v>
      </c>
      <c r="F21" s="7">
        <v>18385005000000</v>
      </c>
      <c r="G21" s="9">
        <f t="shared" si="0"/>
        <v>3.0721775707975058E-3</v>
      </c>
    </row>
    <row r="22" spans="1:7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7">
        <v>4240671000000</v>
      </c>
      <c r="F22" s="7">
        <v>193533970000000</v>
      </c>
      <c r="G22" s="9">
        <f t="shared" si="0"/>
        <v>2.1911765670905217E-2</v>
      </c>
    </row>
    <row r="23" spans="1:7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7">
        <v>711682000000</v>
      </c>
      <c r="F23" s="7">
        <v>19089633000000</v>
      </c>
      <c r="G23" s="9">
        <f t="shared" si="0"/>
        <v>3.7281072925812668E-2</v>
      </c>
    </row>
    <row r="24" spans="1:7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7">
        <v>11841000000</v>
      </c>
      <c r="F24" s="7">
        <v>4809743000000</v>
      </c>
      <c r="G24" s="9">
        <f t="shared" si="0"/>
        <v>2.4618779007527015E-3</v>
      </c>
    </row>
    <row r="25" spans="1:7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7">
        <v>8493369060</v>
      </c>
      <c r="F25" s="7">
        <v>5492915651332</v>
      </c>
      <c r="G25" s="9">
        <f t="shared" si="0"/>
        <v>1.5462405758843952E-3</v>
      </c>
    </row>
    <row r="26" spans="1:7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7">
        <v>1564492000000</v>
      </c>
      <c r="F26" s="7">
        <v>123536474000000</v>
      </c>
      <c r="G26" s="9">
        <f t="shared" si="0"/>
        <v>1.2664211219109265E-2</v>
      </c>
    </row>
    <row r="27" spans="1:7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7">
        <v>59746814000</v>
      </c>
      <c r="F27" s="7">
        <v>7569580138000</v>
      </c>
      <c r="G27" s="9">
        <f t="shared" si="0"/>
        <v>7.8930155848493371E-3</v>
      </c>
    </row>
    <row r="28" spans="1:7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7">
        <v>28455592000000</v>
      </c>
      <c r="F28" s="7">
        <v>1318246335000000</v>
      </c>
      <c r="G28" s="9">
        <f t="shared" si="0"/>
        <v>2.1585944329592998E-2</v>
      </c>
    </row>
    <row r="29" spans="1:7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7">
        <v>51167901115</v>
      </c>
      <c r="F29" s="7">
        <v>7607653715376</v>
      </c>
      <c r="G29" s="9">
        <f t="shared" si="0"/>
        <v>6.7258451855640332E-3</v>
      </c>
    </row>
    <row r="30" spans="1:7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7">
        <v>3642935000000</v>
      </c>
      <c r="F30" s="7">
        <v>274467227000000</v>
      </c>
      <c r="G30" s="9">
        <f t="shared" si="0"/>
        <v>1.3272750411108281E-2</v>
      </c>
    </row>
    <row r="31" spans="1:7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7">
        <v>1924180000000</v>
      </c>
      <c r="F31" s="7">
        <v>169082830000000</v>
      </c>
      <c r="G31" s="9">
        <f t="shared" si="0"/>
        <v>1.1380102876205703E-2</v>
      </c>
    </row>
    <row r="32" spans="1:7" ht="15.5" x14ac:dyDescent="0.35">
      <c r="A32" s="4">
        <v>31</v>
      </c>
      <c r="B32" s="17" t="s">
        <v>110</v>
      </c>
      <c r="C32" s="17" t="s">
        <v>111</v>
      </c>
      <c r="D32" s="4">
        <v>2019</v>
      </c>
      <c r="E32" s="7">
        <v>1500420000000</v>
      </c>
      <c r="F32" s="7">
        <v>161451259000000</v>
      </c>
      <c r="G32" s="9">
        <f t="shared" si="0"/>
        <v>9.2933310603666459E-3</v>
      </c>
    </row>
    <row r="33" spans="1:7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7">
        <v>74857330329</v>
      </c>
      <c r="F33" s="7">
        <v>1821625639974</v>
      </c>
      <c r="G33" s="9">
        <f t="shared" si="0"/>
        <v>4.1093696029700394E-2</v>
      </c>
    </row>
    <row r="34" spans="1:7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7">
        <v>154741753161</v>
      </c>
      <c r="F34" s="7">
        <v>2695471913420</v>
      </c>
      <c r="G34" s="9">
        <f t="shared" si="0"/>
        <v>5.7408037676291164E-2</v>
      </c>
    </row>
    <row r="35" spans="1:7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7">
        <v>2992418000000</v>
      </c>
      <c r="F35" s="7">
        <v>181631385000000</v>
      </c>
      <c r="G35" s="9">
        <f t="shared" si="0"/>
        <v>1.6475225358216588E-2</v>
      </c>
    </row>
    <row r="36" spans="1:7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7">
        <v>519144061565</v>
      </c>
      <c r="F36" s="7">
        <v>15484342922485</v>
      </c>
      <c r="G36" s="9">
        <f t="shared" si="0"/>
        <v>3.3527032058373277E-2</v>
      </c>
    </row>
    <row r="37" spans="1:7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7">
        <v>48341000000</v>
      </c>
      <c r="F37" s="7">
        <v>4938822000000</v>
      </c>
      <c r="G37" s="9">
        <f t="shared" si="0"/>
        <v>9.7879615827417953E-3</v>
      </c>
    </row>
    <row r="38" spans="1:7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7">
        <v>78967000000</v>
      </c>
      <c r="F38" s="7">
        <v>18893684000000</v>
      </c>
      <c r="G38" s="9">
        <f t="shared" si="0"/>
        <v>4.1795448680098596E-3</v>
      </c>
    </row>
    <row r="39" spans="1:7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13">
        <v>2437655000000</v>
      </c>
      <c r="F39" s="7">
        <v>118357444000000</v>
      </c>
      <c r="G39" s="9">
        <f t="shared" si="0"/>
        <v>2.0595704990046929E-2</v>
      </c>
    </row>
    <row r="40" spans="1:7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13">
        <v>377084000000</v>
      </c>
      <c r="F40" s="7">
        <v>4726154000000</v>
      </c>
      <c r="G40" s="9">
        <f t="shared" si="0"/>
        <v>7.9786651048611615E-2</v>
      </c>
    </row>
    <row r="41" spans="1:7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13">
        <v>128879246548</v>
      </c>
      <c r="F41" s="7">
        <v>2332899849906</v>
      </c>
      <c r="G41" s="9">
        <f t="shared" ref="G41:G44" si="1">E41/F41</f>
        <v>5.524422600189758E-2</v>
      </c>
    </row>
    <row r="42" spans="1:7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13">
        <v>3498299000000</v>
      </c>
      <c r="F42" s="7">
        <v>211287370000000</v>
      </c>
      <c r="G42" s="9">
        <f t="shared" si="1"/>
        <v>1.6557066331035309E-2</v>
      </c>
    </row>
    <row r="43" spans="1:7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13">
        <v>2292573000000</v>
      </c>
      <c r="F43" s="7">
        <v>32244734000000</v>
      </c>
      <c r="G43" s="9">
        <f t="shared" si="1"/>
        <v>7.1099144437042031E-2</v>
      </c>
    </row>
    <row r="44" spans="1:7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13">
        <v>2147315000000</v>
      </c>
      <c r="F44" s="7">
        <v>30289386000000</v>
      </c>
      <c r="G44" s="9">
        <f t="shared" si="1"/>
        <v>7.0893315566053397E-2</v>
      </c>
    </row>
    <row r="45" spans="1:7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13">
        <v>499791000000</v>
      </c>
      <c r="F45" s="7">
        <v>36936262000000</v>
      </c>
      <c r="G45" s="9">
        <f t="shared" ref="G45:G76" si="2">E45/F45</f>
        <v>1.3531174324028783E-2</v>
      </c>
    </row>
    <row r="46" spans="1:7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13">
        <v>7344118000000</v>
      </c>
      <c r="F46" s="7">
        <v>26657523000000</v>
      </c>
      <c r="G46" s="9">
        <f t="shared" si="2"/>
        <v>0.27549889012568796</v>
      </c>
    </row>
    <row r="47" spans="1:7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13">
        <v>64871448000</v>
      </c>
      <c r="F47" s="7">
        <v>3050556600000</v>
      </c>
      <c r="G47" s="9">
        <f t="shared" si="2"/>
        <v>2.1265446443445763E-2</v>
      </c>
    </row>
    <row r="48" spans="1:7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13">
        <v>16995000000</v>
      </c>
      <c r="F48" s="7">
        <v>314245000000</v>
      </c>
      <c r="G48" s="9">
        <f t="shared" si="2"/>
        <v>5.4082006078060109E-2</v>
      </c>
    </row>
    <row r="49" spans="1:7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13">
        <v>259671000000</v>
      </c>
      <c r="F49" s="7">
        <v>8271170000000</v>
      </c>
      <c r="G49" s="9">
        <f t="shared" si="2"/>
        <v>3.1394711993587364E-2</v>
      </c>
    </row>
    <row r="50" spans="1:7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13">
        <v>14771000000</v>
      </c>
      <c r="F50" s="7">
        <v>35981240000000</v>
      </c>
      <c r="G50" s="9">
        <f t="shared" si="2"/>
        <v>4.1051948181885893E-4</v>
      </c>
    </row>
    <row r="51" spans="1:7" ht="15.5" x14ac:dyDescent="0.35">
      <c r="A51" s="4">
        <v>50</v>
      </c>
      <c r="B51" s="17" t="s">
        <v>190</v>
      </c>
      <c r="C51" s="17" t="s">
        <v>191</v>
      </c>
      <c r="D51" s="4">
        <v>2019</v>
      </c>
      <c r="E51" s="13">
        <v>74016000000</v>
      </c>
      <c r="F51" s="14">
        <v>43123488000000</v>
      </c>
      <c r="G51" s="9">
        <f t="shared" si="2"/>
        <v>1.7163732210158881E-3</v>
      </c>
    </row>
    <row r="52" spans="1:7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13">
        <v>1399634000000</v>
      </c>
      <c r="F52" s="7">
        <v>15383038000000</v>
      </c>
      <c r="G52" s="9">
        <f t="shared" si="2"/>
        <v>9.0985538747287764E-2</v>
      </c>
    </row>
    <row r="53" spans="1:7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13">
        <v>505750008000</v>
      </c>
      <c r="F53" s="7">
        <v>20734506631000</v>
      </c>
      <c r="G53" s="9">
        <f t="shared" si="2"/>
        <v>2.4391706877840879E-2</v>
      </c>
    </row>
    <row r="54" spans="1:7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13">
        <v>47783992058</v>
      </c>
      <c r="F54" s="7">
        <v>106548732013</v>
      </c>
      <c r="G54" s="9">
        <f t="shared" si="2"/>
        <v>0.44847077159181847</v>
      </c>
    </row>
    <row r="55" spans="1:7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13">
        <v>22261801330</v>
      </c>
      <c r="F55" s="7">
        <v>953737479075</v>
      </c>
      <c r="G55" s="9">
        <f t="shared" si="2"/>
        <v>2.3341644654240726E-2</v>
      </c>
    </row>
    <row r="56" spans="1:7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13">
        <v>2925796396</v>
      </c>
      <c r="F56" s="7">
        <v>401007159459</v>
      </c>
      <c r="G56" s="9">
        <f t="shared" si="2"/>
        <v>7.2961200990705527E-3</v>
      </c>
    </row>
    <row r="57" spans="1:7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13">
        <v>5070554000000</v>
      </c>
      <c r="F57" s="7">
        <v>99625400000000</v>
      </c>
      <c r="G57" s="9">
        <f t="shared" si="2"/>
        <v>5.0896197154540912E-2</v>
      </c>
    </row>
    <row r="58" spans="1:7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13">
        <v>1951111404</v>
      </c>
      <c r="F58" s="7">
        <v>579813156839</v>
      </c>
      <c r="G58" s="9">
        <f t="shared" si="2"/>
        <v>3.3650692140843848E-3</v>
      </c>
    </row>
    <row r="59" spans="1:7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13">
        <v>33033880000</v>
      </c>
      <c r="F59" s="7">
        <v>1212066160000</v>
      </c>
      <c r="G59" s="9">
        <f t="shared" si="2"/>
        <v>2.7254188830748316E-2</v>
      </c>
    </row>
    <row r="60" spans="1:7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13">
        <v>117911141906</v>
      </c>
      <c r="F60" s="7">
        <v>14412875999590</v>
      </c>
      <c r="G60" s="9">
        <f t="shared" si="2"/>
        <v>8.1809586032207723E-3</v>
      </c>
    </row>
    <row r="61" spans="1:7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13">
        <v>62868440933</v>
      </c>
      <c r="F61" s="7">
        <v>1548001829554</v>
      </c>
      <c r="G61" s="9">
        <f t="shared" si="2"/>
        <v>4.0612639941848931E-2</v>
      </c>
    </row>
    <row r="62" spans="1:7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13">
        <v>20433000000</v>
      </c>
      <c r="F62" s="7">
        <v>10607879000000</v>
      </c>
      <c r="G62" s="9">
        <f t="shared" si="2"/>
        <v>1.9262097540893896E-3</v>
      </c>
    </row>
    <row r="63" spans="1:7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13">
        <v>15886000000</v>
      </c>
      <c r="F63" s="7">
        <v>18959622000000</v>
      </c>
      <c r="G63" s="9">
        <f t="shared" si="2"/>
        <v>8.3788590299954289E-4</v>
      </c>
    </row>
    <row r="64" spans="1:7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13">
        <v>1488962000000</v>
      </c>
      <c r="F64" s="7">
        <v>83619452000000</v>
      </c>
      <c r="G64" s="9">
        <f t="shared" si="2"/>
        <v>1.7806407054664745E-2</v>
      </c>
    </row>
    <row r="65" spans="1:7" ht="15.5" x14ac:dyDescent="0.35">
      <c r="A65" s="4">
        <v>64</v>
      </c>
      <c r="B65" s="17" t="s">
        <v>29</v>
      </c>
      <c r="C65" s="17" t="s">
        <v>30</v>
      </c>
      <c r="D65" s="4">
        <v>2020</v>
      </c>
      <c r="E65" s="13">
        <f>46566702</f>
        <v>46566702</v>
      </c>
      <c r="F65" s="7">
        <v>10917456216</v>
      </c>
      <c r="G65" s="9">
        <f t="shared" si="2"/>
        <v>4.2653436000736605E-3</v>
      </c>
    </row>
    <row r="66" spans="1:7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13">
        <v>73038000000</v>
      </c>
      <c r="F66" s="7">
        <v>5184821000000</v>
      </c>
      <c r="G66" s="9">
        <f t="shared" si="2"/>
        <v>1.4086889402739266E-2</v>
      </c>
    </row>
    <row r="67" spans="1:7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13">
        <v>4897849567</v>
      </c>
      <c r="F67" s="7">
        <v>141322097298</v>
      </c>
      <c r="G67" s="9">
        <f t="shared" si="2"/>
        <v>3.4657351261014116E-2</v>
      </c>
    </row>
    <row r="68" spans="1:7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13">
        <v>92908485040</v>
      </c>
      <c r="F68" s="7">
        <v>2815578393095</v>
      </c>
      <c r="G68" s="9">
        <f t="shared" si="2"/>
        <v>3.2998010379626179E-2</v>
      </c>
    </row>
    <row r="69" spans="1:7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13">
        <v>2101671000000</v>
      </c>
      <c r="F69" s="7">
        <v>206297200000000</v>
      </c>
      <c r="G69" s="9">
        <f t="shared" si="2"/>
        <v>1.0187588585787883E-2</v>
      </c>
    </row>
    <row r="70" spans="1:7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13">
        <v>53607000000</v>
      </c>
      <c r="F70" s="7">
        <v>13737934000000</v>
      </c>
      <c r="G70" s="9">
        <f t="shared" si="2"/>
        <v>3.9021151215313742E-3</v>
      </c>
    </row>
    <row r="71" spans="1:7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13">
        <v>138367490000</v>
      </c>
      <c r="F71" s="7">
        <v>2467880020000</v>
      </c>
      <c r="G71" s="9">
        <f t="shared" si="2"/>
        <v>5.6067348849479316E-2</v>
      </c>
    </row>
    <row r="72" spans="1:7" ht="15.5" x14ac:dyDescent="0.35">
      <c r="A72" s="4">
        <v>71</v>
      </c>
      <c r="B72" s="17" t="s">
        <v>45</v>
      </c>
      <c r="C72" s="17" t="s">
        <v>235</v>
      </c>
      <c r="D72" s="4">
        <v>2020</v>
      </c>
      <c r="E72" s="13">
        <v>281576000000</v>
      </c>
      <c r="F72" s="7">
        <v>8441051000000</v>
      </c>
      <c r="G72" s="9">
        <f t="shared" si="2"/>
        <v>3.3357931376081014E-2</v>
      </c>
    </row>
    <row r="73" spans="1:7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13">
        <v>107253266000</v>
      </c>
      <c r="F73" s="7">
        <v>4737130041000</v>
      </c>
      <c r="G73" s="9">
        <f t="shared" si="2"/>
        <v>2.2640979891140802E-2</v>
      </c>
    </row>
    <row r="74" spans="1:7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13">
        <v>124726300324</v>
      </c>
      <c r="F74" s="7">
        <v>4881911874208</v>
      </c>
      <c r="G74" s="9">
        <f t="shared" si="2"/>
        <v>2.5548658709500884E-2</v>
      </c>
    </row>
    <row r="75" spans="1:7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13">
        <v>23668304000</v>
      </c>
      <c r="F75" s="7">
        <v>871769183000</v>
      </c>
      <c r="G75" s="9">
        <f t="shared" si="2"/>
        <v>2.7149736950497366E-2</v>
      </c>
    </row>
    <row r="76" spans="1:7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13">
        <v>26804614000</v>
      </c>
      <c r="F76" s="7">
        <v>859876511000</v>
      </c>
      <c r="G76" s="9">
        <f t="shared" si="2"/>
        <v>3.1172631950170809E-2</v>
      </c>
    </row>
    <row r="77" spans="1:7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13">
        <v>27147109000000</v>
      </c>
      <c r="F77" s="7">
        <v>1075570256000000</v>
      </c>
      <c r="G77" s="9">
        <f t="shared" ref="G77:G102" si="3">E77/F77</f>
        <v>2.5239735710951085E-2</v>
      </c>
    </row>
    <row r="78" spans="1:7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13">
        <v>20053000000</v>
      </c>
      <c r="F78" s="7">
        <v>4115895000000</v>
      </c>
      <c r="G78" s="9">
        <f t="shared" si="3"/>
        <v>4.8720873588854914E-3</v>
      </c>
    </row>
    <row r="79" spans="1:7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13">
        <v>325932118524</v>
      </c>
      <c r="F79" s="7">
        <v>14159755232533</v>
      </c>
      <c r="G79" s="9">
        <f t="shared" si="3"/>
        <v>2.3018202869435823E-2</v>
      </c>
    </row>
    <row r="80" spans="1:7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13">
        <v>3321442000000</v>
      </c>
      <c r="F80" s="7">
        <v>891337425000000</v>
      </c>
      <c r="G80" s="9">
        <f t="shared" si="3"/>
        <v>3.72635761367251E-3</v>
      </c>
    </row>
    <row r="81" spans="1:7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13">
        <v>18660393000000</v>
      </c>
      <c r="F81" s="7">
        <v>1511804628000000</v>
      </c>
      <c r="G81" s="9">
        <f t="shared" si="3"/>
        <v>1.2343124669942472E-2</v>
      </c>
    </row>
    <row r="82" spans="1:7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13">
        <v>1602358000000</v>
      </c>
      <c r="F82" s="7">
        <v>361208406000000</v>
      </c>
      <c r="G82" s="9">
        <f t="shared" si="3"/>
        <v>4.4361038485909434E-3</v>
      </c>
    </row>
    <row r="83" spans="1:7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13">
        <v>65525000000</v>
      </c>
      <c r="F83" s="7">
        <v>19101546000000</v>
      </c>
      <c r="G83" s="9">
        <f t="shared" si="3"/>
        <v>3.4303506114112441E-3</v>
      </c>
    </row>
    <row r="84" spans="1:7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13">
        <v>1088942000000</v>
      </c>
      <c r="F84" s="7">
        <v>200890068000000</v>
      </c>
      <c r="G84" s="9">
        <f t="shared" si="3"/>
        <v>5.4205865468670159E-3</v>
      </c>
    </row>
    <row r="85" spans="1:7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13">
        <v>701592000000</v>
      </c>
      <c r="F85" s="7">
        <v>15200531000000</v>
      </c>
      <c r="G85" s="9">
        <f t="shared" si="3"/>
        <v>4.6155756006155312E-2</v>
      </c>
    </row>
    <row r="86" spans="1:7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13">
        <v>3198000000</v>
      </c>
      <c r="F86" s="7">
        <v>5365456000000</v>
      </c>
      <c r="G86" s="9">
        <f t="shared" si="3"/>
        <v>5.9603508070889038E-4</v>
      </c>
    </row>
    <row r="87" spans="1:7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13">
        <v>19376000000</v>
      </c>
      <c r="F87" s="7">
        <v>8437685000000</v>
      </c>
      <c r="G87" s="9">
        <f t="shared" si="3"/>
        <v>2.2963644648976585E-3</v>
      </c>
    </row>
    <row r="88" spans="1:7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13">
        <v>1689996000000</v>
      </c>
      <c r="F88" s="7">
        <v>140934002000000</v>
      </c>
      <c r="G88" s="9">
        <f t="shared" si="3"/>
        <v>1.1991400059724409E-2</v>
      </c>
    </row>
    <row r="89" spans="1:7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13">
        <v>66986471000</v>
      </c>
      <c r="F89" s="7">
        <v>10110519691000</v>
      </c>
      <c r="G89" s="9">
        <f t="shared" si="3"/>
        <v>6.6254231283114761E-3</v>
      </c>
    </row>
    <row r="90" spans="1:7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13">
        <v>17645624000000</v>
      </c>
      <c r="F90" s="7">
        <v>1429334484000000</v>
      </c>
      <c r="G90" s="9">
        <f t="shared" si="3"/>
        <v>1.2345342673478799E-2</v>
      </c>
    </row>
    <row r="91" spans="1:7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13">
        <v>35053333152</v>
      </c>
      <c r="F91" s="7">
        <v>7637524325854</v>
      </c>
      <c r="G91" s="9">
        <f t="shared" si="3"/>
        <v>4.5896198370642136E-3</v>
      </c>
    </row>
    <row r="92" spans="1:7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13">
        <v>2011254000000</v>
      </c>
      <c r="F92" s="7">
        <v>280943605000000</v>
      </c>
      <c r="G92" s="9">
        <f t="shared" si="3"/>
        <v>7.1589242972802314E-3</v>
      </c>
    </row>
    <row r="93" spans="1:7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13">
        <v>1284392000000</v>
      </c>
      <c r="F93" s="7">
        <v>173224412000000</v>
      </c>
      <c r="G93" s="9">
        <f t="shared" si="3"/>
        <v>7.4146131320105158E-3</v>
      </c>
    </row>
    <row r="94" spans="1:7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13">
        <v>721587000000</v>
      </c>
      <c r="F94" s="7">
        <v>197726097000000</v>
      </c>
      <c r="G94" s="9">
        <f t="shared" si="3"/>
        <v>3.6494272174906685E-3</v>
      </c>
    </row>
    <row r="95" spans="1:7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13">
        <v>41262495245</v>
      </c>
      <c r="F95" s="7">
        <v>1472642352942</v>
      </c>
      <c r="G95" s="9">
        <f t="shared" si="3"/>
        <v>2.8019359325478482E-2</v>
      </c>
    </row>
    <row r="96" spans="1:7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13">
        <v>118908747945</v>
      </c>
      <c r="F96" s="7">
        <v>2798907230186</v>
      </c>
      <c r="G96" s="9">
        <f t="shared" si="3"/>
        <v>4.2483990416894948E-2</v>
      </c>
    </row>
    <row r="97" spans="1:7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13">
        <v>2005677000000</v>
      </c>
      <c r="F97" s="7">
        <v>183165978000000</v>
      </c>
      <c r="G97" s="9">
        <f t="shared" si="3"/>
        <v>1.0950052088821867E-2</v>
      </c>
    </row>
    <row r="98" spans="1:7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13">
        <v>327051932822</v>
      </c>
      <c r="F98" s="7">
        <v>17233361869538</v>
      </c>
      <c r="G98" s="9">
        <f t="shared" si="3"/>
        <v>1.8977837017401862E-2</v>
      </c>
    </row>
    <row r="99" spans="1:7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13">
        <v>26887000000</v>
      </c>
      <c r="F99" s="7">
        <v>4460807000000</v>
      </c>
      <c r="G99" s="9">
        <f t="shared" si="3"/>
        <v>6.0273847310587519E-3</v>
      </c>
    </row>
    <row r="100" spans="1:7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13">
        <v>49979000000</v>
      </c>
      <c r="F100" s="7">
        <v>25235573000000</v>
      </c>
      <c r="G100" s="9">
        <f t="shared" si="3"/>
        <v>1.9804979264786259E-3</v>
      </c>
    </row>
    <row r="101" spans="1:7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13">
        <v>3086311000000</v>
      </c>
      <c r="F101" s="7">
        <v>112282629000000</v>
      </c>
      <c r="G101" s="9">
        <f t="shared" si="3"/>
        <v>2.7486985542527688E-2</v>
      </c>
    </row>
    <row r="102" spans="1:7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13">
        <v>174397000000</v>
      </c>
      <c r="F102" s="7">
        <v>4210393000000</v>
      </c>
      <c r="G102" s="9">
        <f t="shared" si="3"/>
        <v>4.1420598979715194E-2</v>
      </c>
    </row>
    <row r="103" spans="1:7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13">
        <v>85707630570</v>
      </c>
      <c r="F103" s="7">
        <v>2966070675948</v>
      </c>
      <c r="G103" s="9">
        <f t="shared" ref="G103:G106" si="4">E103/F103</f>
        <v>2.8896017638759257E-2</v>
      </c>
    </row>
    <row r="104" spans="1:7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13">
        <v>3124205000000</v>
      </c>
      <c r="F104" s="7">
        <v>218067091000000</v>
      </c>
      <c r="G104" s="9">
        <f t="shared" si="4"/>
        <v>1.432680642307463E-2</v>
      </c>
    </row>
    <row r="105" spans="1:7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13">
        <v>1929380000000</v>
      </c>
      <c r="F105" s="7">
        <v>34211725000000</v>
      </c>
      <c r="G105" s="9">
        <f t="shared" si="4"/>
        <v>5.6395285534418388E-2</v>
      </c>
    </row>
    <row r="106" spans="1:7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13">
        <v>2039328000000</v>
      </c>
      <c r="F106" s="7">
        <v>32381721000000</v>
      </c>
      <c r="G106" s="9">
        <f t="shared" si="4"/>
        <v>6.2977752170738546E-2</v>
      </c>
    </row>
    <row r="107" spans="1:7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13">
        <v>536001000000</v>
      </c>
      <c r="F107" s="7">
        <v>38053939000000</v>
      </c>
      <c r="G107" s="9">
        <f t="shared" ref="G107:G138" si="5">E107/F107</f>
        <v>1.4085296137148904E-2</v>
      </c>
    </row>
    <row r="108" spans="1:7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13">
        <v>8823332000000</v>
      </c>
      <c r="F108" s="7">
        <v>35048949000000</v>
      </c>
      <c r="G108" s="9">
        <f t="shared" si="5"/>
        <v>0.25174312644867042</v>
      </c>
    </row>
    <row r="109" spans="1:7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13">
        <v>28284898000</v>
      </c>
      <c r="F109" s="7">
        <v>2676388593000</v>
      </c>
      <c r="G109" s="9">
        <f t="shared" si="5"/>
        <v>1.0568307634391415E-2</v>
      </c>
    </row>
    <row r="110" spans="1:7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13">
        <v>18139491535</v>
      </c>
      <c r="F110" s="7">
        <v>325525285622</v>
      </c>
      <c r="G110" s="9">
        <f t="shared" si="5"/>
        <v>5.5723755837706508E-2</v>
      </c>
    </row>
    <row r="111" spans="1:7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13">
        <v>57378000000</v>
      </c>
      <c r="F111" s="7">
        <v>5283702000000</v>
      </c>
      <c r="G111" s="9">
        <f t="shared" si="5"/>
        <v>1.0859431512223816E-2</v>
      </c>
    </row>
    <row r="112" spans="1:7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13">
        <v>105401000000</v>
      </c>
      <c r="F112" s="7">
        <v>33838539000000</v>
      </c>
      <c r="G112" s="9">
        <f t="shared" si="5"/>
        <v>3.1148212397704286E-3</v>
      </c>
    </row>
    <row r="113" spans="1:7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13">
        <v>248054000000</v>
      </c>
      <c r="F113" s="7">
        <v>57715586000000</v>
      </c>
      <c r="G113" s="9">
        <f t="shared" si="5"/>
        <v>4.2978685168335636E-3</v>
      </c>
    </row>
    <row r="114" spans="1:7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13">
        <v>854614000000</v>
      </c>
      <c r="F114" s="7">
        <v>16435005000000</v>
      </c>
      <c r="G114" s="9">
        <f t="shared" si="5"/>
        <v>5.1999619105683265E-2</v>
      </c>
    </row>
    <row r="115" spans="1:7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13">
        <v>271915938000</v>
      </c>
      <c r="F115" s="7">
        <v>19460094655000</v>
      </c>
      <c r="G115" s="9">
        <f t="shared" si="5"/>
        <v>1.397300181837168E-2</v>
      </c>
    </row>
    <row r="116" spans="1:7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13">
        <v>79566793815</v>
      </c>
      <c r="F116" s="7">
        <v>336398988799</v>
      </c>
      <c r="G116" s="9">
        <f t="shared" si="5"/>
        <v>0.2365250683394341</v>
      </c>
    </row>
    <row r="117" spans="1:7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13">
        <v>35175588135</v>
      </c>
      <c r="F117" s="7">
        <v>1441234275187</v>
      </c>
      <c r="G117" s="9">
        <f t="shared" si="5"/>
        <v>2.4406572019969461E-2</v>
      </c>
    </row>
    <row r="118" spans="1:7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13">
        <v>11766087215</v>
      </c>
      <c r="F118" s="7">
        <v>651765765501</v>
      </c>
      <c r="G118" s="9">
        <f t="shared" si="5"/>
        <v>1.8052631540037441E-2</v>
      </c>
    </row>
    <row r="119" spans="1:7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13">
        <v>559820000000</v>
      </c>
      <c r="F119" s="7">
        <v>108456227000000</v>
      </c>
      <c r="G119" s="9">
        <f t="shared" si="5"/>
        <v>5.1617137667899883E-3</v>
      </c>
    </row>
    <row r="120" spans="1:7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13">
        <v>5808171411</v>
      </c>
      <c r="F120" s="7">
        <v>497557497473</v>
      </c>
      <c r="G120" s="9">
        <f t="shared" si="5"/>
        <v>1.1673367280160784E-2</v>
      </c>
    </row>
    <row r="121" spans="1:7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13">
        <v>14885370000</v>
      </c>
      <c r="F121" s="7">
        <v>1103815967000</v>
      </c>
      <c r="G121" s="9">
        <f t="shared" si="5"/>
        <v>1.3485372965256263E-2</v>
      </c>
    </row>
    <row r="122" spans="1:7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13">
        <v>108191656140</v>
      </c>
      <c r="F122" s="7">
        <v>21537936008109</v>
      </c>
      <c r="G122" s="9">
        <f t="shared" si="5"/>
        <v>5.0233066018612925E-3</v>
      </c>
    </row>
    <row r="123" spans="1:7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13">
        <v>65549370649</v>
      </c>
      <c r="F123" s="7">
        <v>1516582973028</v>
      </c>
      <c r="G123" s="9">
        <f t="shared" si="5"/>
        <v>4.322175035245486E-2</v>
      </c>
    </row>
    <row r="124" spans="1:7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13">
        <v>10414000000</v>
      </c>
      <c r="F124" s="7">
        <v>11652904000000</v>
      </c>
      <c r="G124" s="9">
        <f t="shared" si="5"/>
        <v>8.9368281073970923E-4</v>
      </c>
    </row>
    <row r="125" spans="1:7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13">
        <v>61414000000</v>
      </c>
      <c r="F125" s="7">
        <v>20223558000000</v>
      </c>
      <c r="G125" s="9">
        <f t="shared" si="5"/>
        <v>3.036755451241567E-3</v>
      </c>
    </row>
    <row r="126" spans="1:7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13">
        <v>1523070000000</v>
      </c>
      <c r="F126" s="7">
        <v>100723330000000</v>
      </c>
      <c r="G126" s="9">
        <f t="shared" si="5"/>
        <v>1.5121322934815598E-2</v>
      </c>
    </row>
    <row r="127" spans="1:7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13">
        <v>46306100000</v>
      </c>
      <c r="F127" s="7">
        <f>7123904019000+0</f>
        <v>7123904019000</v>
      </c>
      <c r="G127" s="9">
        <f t="shared" si="5"/>
        <v>6.5001016123319554E-3</v>
      </c>
    </row>
    <row r="128" spans="1:7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13">
        <v>168683000000</v>
      </c>
      <c r="F128" s="7">
        <f>5087106000000+0</f>
        <v>5087106000000</v>
      </c>
      <c r="G128" s="9">
        <f t="shared" si="5"/>
        <v>3.3158931620453753E-2</v>
      </c>
    </row>
    <row r="129" spans="1:7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13">
        <v>9199918110</v>
      </c>
      <c r="F129" s="7">
        <v>153713575228</v>
      </c>
      <c r="G129" s="9">
        <f t="shared" si="5"/>
        <v>5.9851045012478316E-2</v>
      </c>
    </row>
    <row r="130" spans="1:7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13">
        <v>98384767320</v>
      </c>
      <c r="F130" s="7">
        <v>2923286260687</v>
      </c>
      <c r="G130" s="9">
        <f t="shared" si="5"/>
        <v>3.3655536456726837E-2</v>
      </c>
    </row>
    <row r="131" spans="1:7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13">
        <v>2519619000000</v>
      </c>
      <c r="F131" s="7">
        <v>214395608000000</v>
      </c>
      <c r="G131" s="9">
        <f t="shared" si="5"/>
        <v>1.1752195035637111E-2</v>
      </c>
    </row>
    <row r="132" spans="1:7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13">
        <v>64186000000</v>
      </c>
      <c r="F132" s="7">
        <v>20742643000000</v>
      </c>
      <c r="G132" s="9">
        <f t="shared" si="5"/>
        <v>3.0943983367982568E-3</v>
      </c>
    </row>
    <row r="133" spans="1:7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13">
        <v>159144910000</v>
      </c>
      <c r="F133" s="7">
        <v>2501390090000</v>
      </c>
      <c r="G133" s="9">
        <f t="shared" si="5"/>
        <v>6.3622587550908549E-2</v>
      </c>
    </row>
    <row r="134" spans="1:7" ht="15.5" x14ac:dyDescent="0.35">
      <c r="A134" s="4">
        <v>133</v>
      </c>
      <c r="B134" s="17" t="s">
        <v>45</v>
      </c>
      <c r="C134" s="17" t="s">
        <v>235</v>
      </c>
      <c r="D134" s="4">
        <v>2021</v>
      </c>
      <c r="E134" s="13">
        <v>1212700000000</v>
      </c>
      <c r="F134" s="7">
        <v>23725885000000</v>
      </c>
      <c r="G134" s="9">
        <f t="shared" si="5"/>
        <v>5.1112951108040858E-2</v>
      </c>
    </row>
    <row r="135" spans="1:7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13">
        <v>149438469000</v>
      </c>
      <c r="F135" s="7">
        <v>4652817906000</v>
      </c>
      <c r="G135" s="9">
        <f t="shared" si="5"/>
        <v>3.2117841707773036E-2</v>
      </c>
    </row>
    <row r="136" spans="1:7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13">
        <v>102955189353</v>
      </c>
      <c r="F136" s="7">
        <v>5936609239750</v>
      </c>
      <c r="G136" s="9">
        <f t="shared" si="5"/>
        <v>1.7342423123226418E-2</v>
      </c>
    </row>
    <row r="137" spans="1:7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13">
        <v>16469192000</v>
      </c>
      <c r="F137" s="7">
        <v>954657152000</v>
      </c>
      <c r="G137" s="9">
        <f t="shared" si="5"/>
        <v>1.7251420539297443E-2</v>
      </c>
    </row>
    <row r="138" spans="1:7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13">
        <v>20260825000</v>
      </c>
      <c r="F138" s="7">
        <v>822740369000</v>
      </c>
      <c r="G138" s="9">
        <f t="shared" si="5"/>
        <v>2.4626025127010634E-2</v>
      </c>
    </row>
    <row r="139" spans="1:7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13">
        <v>31440159000000</v>
      </c>
      <c r="F139" s="7">
        <v>1228344680000000</v>
      </c>
      <c r="G139" s="9">
        <f t="shared" ref="G139:G164" si="6">E139/F139</f>
        <v>2.5595551079359909E-2</v>
      </c>
    </row>
    <row r="140" spans="1:7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13">
        <v>28703000000</v>
      </c>
      <c r="F140" s="7">
        <v>3582868000000</v>
      </c>
      <c r="G140" s="9">
        <f t="shared" si="6"/>
        <v>8.0111798704278255E-3</v>
      </c>
    </row>
    <row r="141" spans="1:7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13">
        <v>519580026420</v>
      </c>
      <c r="F141" s="7">
        <v>15983152301240</v>
      </c>
      <c r="G141" s="9">
        <f t="shared" si="6"/>
        <v>3.2507981944193208E-2</v>
      </c>
    </row>
    <row r="142" spans="1:7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13">
        <v>10977051000000</v>
      </c>
      <c r="F142" s="7">
        <v>964837692000000</v>
      </c>
      <c r="G142" s="9">
        <f t="shared" si="6"/>
        <v>1.1377095952010134E-2</v>
      </c>
    </row>
    <row r="143" spans="1:7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13">
        <v>30755766000000</v>
      </c>
      <c r="F143" s="7">
        <v>1678097734000000</v>
      </c>
      <c r="G143" s="9">
        <f t="shared" si="6"/>
        <v>1.8327756111492371E-2</v>
      </c>
    </row>
    <row r="144" spans="1:7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13">
        <v>2376227000000</v>
      </c>
      <c r="F144" s="7">
        <v>371868311000000</v>
      </c>
      <c r="G144" s="9">
        <f t="shared" si="6"/>
        <v>6.3899690554702843E-3</v>
      </c>
    </row>
    <row r="145" spans="1:7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13">
        <v>147170000000</v>
      </c>
      <c r="F145" s="7">
        <v>21653968000000</v>
      </c>
      <c r="G145" s="9">
        <f t="shared" si="6"/>
        <v>6.796444882526842E-3</v>
      </c>
    </row>
    <row r="146" spans="1:7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13">
        <v>1669280000000</v>
      </c>
      <c r="F146" s="7">
        <v>192239698000000</v>
      </c>
      <c r="G146" s="9">
        <f t="shared" si="6"/>
        <v>8.683326167106235E-3</v>
      </c>
    </row>
    <row r="147" spans="1:7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13">
        <v>1131338000000</v>
      </c>
      <c r="F147" s="7">
        <v>15635739000000</v>
      </c>
      <c r="G147" s="9">
        <f t="shared" si="6"/>
        <v>7.2355902077925444E-2</v>
      </c>
    </row>
    <row r="148" spans="1:7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13">
        <v>10866000000</v>
      </c>
      <c r="F148" s="7">
        <v>8575950000000</v>
      </c>
      <c r="G148" s="9">
        <f t="shared" si="6"/>
        <v>1.267031640809473E-3</v>
      </c>
    </row>
    <row r="149" spans="1:7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13">
        <v>39748000000</v>
      </c>
      <c r="F149" s="7">
        <v>15055850000000</v>
      </c>
      <c r="G149" s="9">
        <f t="shared" si="6"/>
        <v>2.6400369291670681E-3</v>
      </c>
    </row>
    <row r="150" spans="1:7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13">
        <v>2018654000000</v>
      </c>
      <c r="F150" s="7">
        <v>158356097000000</v>
      </c>
      <c r="G150" s="9">
        <f t="shared" si="6"/>
        <v>1.274756096066197E-2</v>
      </c>
    </row>
    <row r="151" spans="1:7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13">
        <v>80162068000</v>
      </c>
      <c r="F151" s="7">
        <v>14234358584000</v>
      </c>
      <c r="G151" s="9">
        <f t="shared" si="6"/>
        <v>5.6315897570618631E-3</v>
      </c>
    </row>
    <row r="152" spans="1:7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13">
        <v>30551097000000</v>
      </c>
      <c r="F152" s="7">
        <v>1725611128000000</v>
      </c>
      <c r="G152" s="9">
        <f t="shared" si="6"/>
        <v>1.7704508567587308E-2</v>
      </c>
    </row>
    <row r="153" spans="1:7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7">
        <v>44449400923</v>
      </c>
      <c r="F153" s="7">
        <v>8666525828600</v>
      </c>
      <c r="G153" s="9">
        <f t="shared" si="6"/>
        <v>5.1288603763591858E-3</v>
      </c>
    </row>
    <row r="154" spans="1:7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13">
        <v>4098604000000</v>
      </c>
      <c r="F154" s="7">
        <v>310786960000000</v>
      </c>
      <c r="G154" s="9">
        <f t="shared" si="6"/>
        <v>1.3187824868842631E-2</v>
      </c>
    </row>
    <row r="155" spans="1:7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13">
        <v>1679754000000</v>
      </c>
      <c r="F155" s="7">
        <v>168758476000000</v>
      </c>
      <c r="G155" s="9">
        <f t="shared" si="6"/>
        <v>9.9535978269915167E-3</v>
      </c>
    </row>
    <row r="156" spans="1:7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13">
        <v>1231127000000</v>
      </c>
      <c r="F156" s="7">
        <v>234379042000000</v>
      </c>
      <c r="G156" s="9">
        <f t="shared" si="6"/>
        <v>5.2527179456600048E-3</v>
      </c>
    </row>
    <row r="157" spans="1:7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13">
        <v>45920466508</v>
      </c>
      <c r="F157" s="7">
        <v>1297609119758</v>
      </c>
      <c r="G157" s="9">
        <f t="shared" si="6"/>
        <v>3.5388520170514845E-2</v>
      </c>
    </row>
    <row r="158" spans="1:7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13">
        <v>159031483754</v>
      </c>
      <c r="F158" s="7">
        <v>2964069016813</v>
      </c>
      <c r="G158" s="9">
        <f t="shared" si="6"/>
        <v>5.3653097431918914E-2</v>
      </c>
    </row>
    <row r="159" spans="1:7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13">
        <v>3104215000000</v>
      </c>
      <c r="F159" s="7">
        <v>191917794000000</v>
      </c>
      <c r="G159" s="9">
        <f t="shared" si="6"/>
        <v>1.6174711762266297E-2</v>
      </c>
    </row>
    <row r="160" spans="1:7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13">
        <v>984670000000</v>
      </c>
      <c r="F160" s="7">
        <v>18046214000000</v>
      </c>
      <c r="G160" s="9">
        <f t="shared" si="6"/>
        <v>5.4563799365340566E-2</v>
      </c>
    </row>
    <row r="161" spans="1:7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13">
        <v>11884000000</v>
      </c>
      <c r="F161" s="7">
        <v>5543310000000</v>
      </c>
      <c r="G161" s="9">
        <f t="shared" si="6"/>
        <v>2.1438454641721284E-3</v>
      </c>
    </row>
    <row r="162" spans="1:7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13">
        <v>79392000000</v>
      </c>
      <c r="F162" s="7">
        <v>26194548000000</v>
      </c>
      <c r="G162" s="9">
        <f t="shared" si="6"/>
        <v>3.0308597040880417E-3</v>
      </c>
    </row>
    <row r="163" spans="1:7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13">
        <v>4008051000000</v>
      </c>
      <c r="F163" s="7">
        <v>132879390000000</v>
      </c>
      <c r="G163" s="9">
        <f t="shared" si="6"/>
        <v>3.0163074950900964E-2</v>
      </c>
    </row>
    <row r="164" spans="1:7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13">
        <v>485251000000</v>
      </c>
      <c r="F164" s="7">
        <v>5345296000000</v>
      </c>
      <c r="G164" s="9">
        <f t="shared" si="6"/>
        <v>9.0780940849674183E-2</v>
      </c>
    </row>
    <row r="165" spans="1:7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13">
        <v>157800517676</v>
      </c>
      <c r="F165" s="7">
        <v>2054791094477</v>
      </c>
      <c r="G165" s="9">
        <f t="shared" ref="G165:G168" si="7">E165/F165</f>
        <v>7.6796379982445123E-2</v>
      </c>
    </row>
    <row r="166" spans="1:7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13">
        <v>1816976000000</v>
      </c>
      <c r="F166" s="7">
        <v>204462542000000</v>
      </c>
      <c r="G166" s="9">
        <f t="shared" si="7"/>
        <v>8.8865959614255405E-3</v>
      </c>
    </row>
    <row r="167" spans="1:7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13">
        <v>1438100000000</v>
      </c>
      <c r="F167" s="7">
        <v>35275479000000</v>
      </c>
      <c r="G167" s="9">
        <f t="shared" si="7"/>
        <v>4.0767695883024015E-2</v>
      </c>
    </row>
    <row r="168" spans="1:7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13">
        <v>1496356000000</v>
      </c>
      <c r="F168" s="7">
        <v>33192581000000</v>
      </c>
      <c r="G168" s="9">
        <f t="shared" si="7"/>
        <v>4.5081037837943365E-2</v>
      </c>
    </row>
    <row r="169" spans="1:7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13">
        <v>629168000000</v>
      </c>
      <c r="F169" s="7">
        <v>43801571000000</v>
      </c>
      <c r="G169" s="9">
        <f t="shared" ref="G169:G200" si="8">E169/F169</f>
        <v>1.4364051006298381E-2</v>
      </c>
    </row>
    <row r="170" spans="1:7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13">
        <v>24891826000000</v>
      </c>
      <c r="F170" s="7">
        <v>61151527000000</v>
      </c>
      <c r="G170" s="9">
        <f t="shared" si="8"/>
        <v>0.40705158515501993</v>
      </c>
    </row>
    <row r="171" spans="1:7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13">
        <v>51932954000</v>
      </c>
      <c r="F171" s="7">
        <v>1819841840000</v>
      </c>
      <c r="G171" s="9">
        <f t="shared" si="8"/>
        <v>2.8537070012633624E-2</v>
      </c>
    </row>
    <row r="172" spans="1:7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13">
        <v>23906817800</v>
      </c>
      <c r="F172" s="7">
        <v>350941420850</v>
      </c>
      <c r="G172" s="9">
        <f t="shared" si="8"/>
        <v>6.8121961044371265E-2</v>
      </c>
    </row>
    <row r="173" spans="1:7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13">
        <v>110610000000</v>
      </c>
      <c r="F173" s="7">
        <v>5151084000000</v>
      </c>
      <c r="G173" s="9">
        <f t="shared" si="8"/>
        <v>2.147315011752866E-2</v>
      </c>
    </row>
    <row r="174" spans="1:7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13">
        <v>42982000000</v>
      </c>
      <c r="F174" s="7">
        <v>38129561000000</v>
      </c>
      <c r="G174" s="9">
        <f t="shared" si="8"/>
        <v>1.1272618638331557E-3</v>
      </c>
    </row>
    <row r="175" spans="1:7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13">
        <v>3028205000000</v>
      </c>
      <c r="F175" s="7">
        <v>265289081000000</v>
      </c>
      <c r="G175" s="9">
        <f t="shared" si="8"/>
        <v>1.1414736666074846E-2</v>
      </c>
    </row>
    <row r="176" spans="1:7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13">
        <v>1465005000000</v>
      </c>
      <c r="F176" s="7">
        <v>18543856000000</v>
      </c>
      <c r="G176" s="9">
        <f t="shared" si="8"/>
        <v>7.9002177324931769E-2</v>
      </c>
    </row>
    <row r="177" spans="1:7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13">
        <v>327230307000</v>
      </c>
      <c r="F177" s="7">
        <v>20188056012000</v>
      </c>
      <c r="G177" s="9">
        <f t="shared" si="8"/>
        <v>1.6209104373669795E-2</v>
      </c>
    </row>
    <row r="178" spans="1:7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13">
        <v>99619000000</v>
      </c>
      <c r="F178" s="7">
        <v>393128000000</v>
      </c>
      <c r="G178" s="9">
        <f t="shared" si="8"/>
        <v>0.25340092794204433</v>
      </c>
    </row>
    <row r="179" spans="1:7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13">
        <v>65663254436</v>
      </c>
      <c r="F179" s="7">
        <v>2476075485358</v>
      </c>
      <c r="G179" s="9">
        <f t="shared" si="8"/>
        <v>2.6519084262290236E-2</v>
      </c>
    </row>
    <row r="180" spans="1:7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13">
        <v>9446641246</v>
      </c>
      <c r="F180" s="7">
        <v>736066661447</v>
      </c>
      <c r="G180" s="9">
        <f t="shared" si="8"/>
        <v>1.2833947984316091E-2</v>
      </c>
    </row>
    <row r="181" spans="1:7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13">
        <v>991780000000</v>
      </c>
      <c r="F181" s="7">
        <v>117509999000000</v>
      </c>
      <c r="G181" s="9">
        <f t="shared" si="8"/>
        <v>8.4399626282015364E-3</v>
      </c>
    </row>
    <row r="182" spans="1:7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13">
        <v>10513086262</v>
      </c>
      <c r="F182" s="7">
        <v>508447134690</v>
      </c>
      <c r="G182" s="9">
        <f t="shared" si="8"/>
        <v>2.0676852212786732E-2</v>
      </c>
    </row>
    <row r="183" spans="1:7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13">
        <v>26731688000</v>
      </c>
      <c r="F183" s="7">
        <v>1396548426000</v>
      </c>
      <c r="G183" s="9">
        <f t="shared" si="8"/>
        <v>1.9141253895910374E-2</v>
      </c>
    </row>
    <row r="184" spans="1:7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13">
        <v>213129172158</v>
      </c>
      <c r="F184" s="7">
        <v>23203123481350</v>
      </c>
      <c r="G184" s="9">
        <f t="shared" si="8"/>
        <v>9.1853655965459594E-3</v>
      </c>
    </row>
    <row r="185" spans="1:7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13">
        <v>64959423205</v>
      </c>
      <c r="F185" s="7">
        <v>1411160148272</v>
      </c>
      <c r="G185" s="9">
        <f t="shared" si="8"/>
        <v>4.6032637248539364E-2</v>
      </c>
    </row>
    <row r="186" spans="1:7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13">
        <v>12868000000</v>
      </c>
      <c r="F186" s="7">
        <v>14015360000000</v>
      </c>
      <c r="G186" s="9">
        <f t="shared" si="8"/>
        <v>9.1813553130279922E-4</v>
      </c>
    </row>
    <row r="187" spans="1:7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13">
        <v>34785000000</v>
      </c>
      <c r="F187" s="7">
        <v>22325883000000</v>
      </c>
      <c r="G187" s="9">
        <f t="shared" si="8"/>
        <v>1.5580570766226805E-3</v>
      </c>
    </row>
    <row r="188" spans="1:7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13">
        <v>1542824000000</v>
      </c>
      <c r="F188" s="7">
        <v>103031367000000</v>
      </c>
      <c r="G188" s="9">
        <f t="shared" si="8"/>
        <v>1.4974313599080948E-2</v>
      </c>
    </row>
    <row r="189" spans="1:7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13">
        <v>310722192000</v>
      </c>
      <c r="F189" s="7">
        <v>8049255816000</v>
      </c>
      <c r="G189" s="9">
        <f t="shared" si="8"/>
        <v>3.860259868773936E-2</v>
      </c>
    </row>
    <row r="190" spans="1:7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13">
        <v>172279000000</v>
      </c>
      <c r="F190" s="7">
        <v>4655875000000</v>
      </c>
      <c r="G190" s="9">
        <f t="shared" si="8"/>
        <v>3.7002496845383523E-2</v>
      </c>
    </row>
    <row r="191" spans="1:7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13">
        <v>8312404568</v>
      </c>
      <c r="F191" s="7">
        <v>162856818189</v>
      </c>
      <c r="G191" s="9">
        <f t="shared" si="8"/>
        <v>5.1041182435194184E-2</v>
      </c>
    </row>
    <row r="192" spans="1:7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13">
        <v>73838714374</v>
      </c>
      <c r="F192" s="7">
        <v>2930664711078</v>
      </c>
      <c r="G192" s="9">
        <f t="shared" si="8"/>
        <v>2.5195210525068752E-2</v>
      </c>
    </row>
    <row r="193" spans="1:7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13">
        <v>3326930000000</v>
      </c>
      <c r="F193" s="7">
        <v>238498560000000</v>
      </c>
      <c r="G193" s="9">
        <f t="shared" si="8"/>
        <v>1.3949476256795847E-2</v>
      </c>
    </row>
    <row r="194" spans="1:7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13">
        <v>103845000000</v>
      </c>
      <c r="F194" s="7">
        <v>22116366000000</v>
      </c>
      <c r="G194" s="9">
        <f t="shared" si="8"/>
        <v>4.6953916389338105E-3</v>
      </c>
    </row>
    <row r="195" spans="1:7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13">
        <v>91138279000</v>
      </c>
      <c r="F195" s="7">
        <v>2472105924000</v>
      </c>
      <c r="G195" s="9">
        <f t="shared" si="8"/>
        <v>3.686665612310551E-2</v>
      </c>
    </row>
    <row r="196" spans="1:7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13">
        <v>1605555000000</v>
      </c>
      <c r="F196" s="7">
        <v>24897205000000</v>
      </c>
      <c r="G196" s="9">
        <f t="shared" si="8"/>
        <v>6.4487359123242952E-2</v>
      </c>
    </row>
    <row r="197" spans="1:7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13">
        <v>169774422000</v>
      </c>
      <c r="F197" s="7">
        <v>4705846343000</v>
      </c>
      <c r="G197" s="9">
        <f t="shared" si="8"/>
        <v>3.6077340742870063E-2</v>
      </c>
    </row>
    <row r="198" spans="1:7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13">
        <v>156597454064</v>
      </c>
      <c r="F198" s="7">
        <v>6857140243488</v>
      </c>
      <c r="G198" s="9">
        <f t="shared" si="8"/>
        <v>2.2837137422224291E-2</v>
      </c>
    </row>
    <row r="199" spans="1:7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13">
        <v>5147620000</v>
      </c>
      <c r="F199" s="7">
        <v>989810930000</v>
      </c>
      <c r="G199" s="9">
        <f t="shared" si="8"/>
        <v>5.2006093729435781E-3</v>
      </c>
    </row>
    <row r="200" spans="1:7" ht="15.5" x14ac:dyDescent="0.35">
      <c r="A200" s="4">
        <v>199</v>
      </c>
      <c r="B200" s="17" t="s">
        <v>60</v>
      </c>
      <c r="C200" s="17" t="s">
        <v>61</v>
      </c>
      <c r="D200" s="4">
        <v>2022</v>
      </c>
      <c r="E200" s="13">
        <v>18551067000</v>
      </c>
      <c r="F200" s="7">
        <v>888973513000</v>
      </c>
      <c r="G200" s="9">
        <f t="shared" si="8"/>
        <v>2.0867963700511288E-2</v>
      </c>
    </row>
    <row r="201" spans="1:7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13">
        <v>40755572000000</v>
      </c>
      <c r="F201" s="7">
        <v>1314731674000000</v>
      </c>
      <c r="G201" s="9">
        <f t="shared" ref="G201:G232" si="9">E201/F201</f>
        <v>3.0999155801885701E-2</v>
      </c>
    </row>
    <row r="202" spans="1:7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13">
        <v>87460000000</v>
      </c>
      <c r="F202" s="7">
        <v>4630150000000</v>
      </c>
      <c r="G202" s="9">
        <f t="shared" si="9"/>
        <v>1.8889236849778085E-2</v>
      </c>
    </row>
    <row r="203" spans="1:7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13">
        <v>523103882225</v>
      </c>
      <c r="F203" s="7">
        <v>16583990927531</v>
      </c>
      <c r="G203" s="9">
        <f t="shared" si="9"/>
        <v>3.154270190516071E-2</v>
      </c>
    </row>
    <row r="204" spans="1:7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13">
        <v>18481780000000</v>
      </c>
      <c r="F204" s="7">
        <v>1029838868000000</v>
      </c>
      <c r="G204" s="9">
        <f t="shared" si="9"/>
        <v>1.794628322379458E-2</v>
      </c>
    </row>
    <row r="205" spans="1:7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13">
        <v>51408207000000</v>
      </c>
      <c r="F205" s="7">
        <v>1865639010000000</v>
      </c>
      <c r="G205" s="9">
        <f t="shared" si="9"/>
        <v>2.755528091149852E-2</v>
      </c>
    </row>
    <row r="206" spans="1:7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13">
        <v>3045073000000</v>
      </c>
      <c r="F206" s="7">
        <v>402148312000000</v>
      </c>
      <c r="G206" s="9">
        <f t="shared" si="9"/>
        <v>7.5720148739552582E-3</v>
      </c>
    </row>
    <row r="207" spans="1:7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13">
        <v>148008000000</v>
      </c>
      <c r="F207" s="7">
        <v>24306227000000</v>
      </c>
      <c r="G207" s="9">
        <f t="shared" si="9"/>
        <v>6.089303782113119E-3</v>
      </c>
    </row>
    <row r="208" spans="1:7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13">
        <v>3429639000000</v>
      </c>
      <c r="F208" s="7">
        <v>197729688000000</v>
      </c>
      <c r="G208" s="9">
        <f t="shared" si="9"/>
        <v>1.7345088816404747E-2</v>
      </c>
    </row>
    <row r="209" spans="1:7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13">
        <v>1806679000000</v>
      </c>
      <c r="F209" s="7">
        <v>21929634000000</v>
      </c>
      <c r="G209" s="9">
        <f t="shared" si="9"/>
        <v>8.2385278295114273E-2</v>
      </c>
    </row>
    <row r="210" spans="1:7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13">
        <v>46043000000</v>
      </c>
      <c r="F210" s="7">
        <v>8968132000000</v>
      </c>
      <c r="G210" s="9">
        <f t="shared" si="9"/>
        <v>5.1340680534140218E-3</v>
      </c>
    </row>
    <row r="211" spans="1:7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13">
        <v>157048000000</v>
      </c>
      <c r="F211" s="7">
        <v>20522736000000</v>
      </c>
      <c r="G211" s="9">
        <f t="shared" si="9"/>
        <v>7.6523909872445858E-3</v>
      </c>
    </row>
    <row r="212" spans="1:7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13">
        <v>2245282000000</v>
      </c>
      <c r="F212" s="7">
        <v>181241291000000</v>
      </c>
      <c r="G212" s="9">
        <f t="shared" si="9"/>
        <v>1.2388358014951461E-2</v>
      </c>
    </row>
    <row r="213" spans="1:7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13">
        <v>114940964000</v>
      </c>
      <c r="F213" s="7">
        <v>14956302274000</v>
      </c>
      <c r="G213" s="9">
        <f t="shared" si="9"/>
        <v>7.6851190818611028E-3</v>
      </c>
    </row>
    <row r="214" spans="1:7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13">
        <v>44952368000000</v>
      </c>
      <c r="F214" s="7">
        <v>1992544687000000</v>
      </c>
      <c r="G214" s="9">
        <f t="shared" si="9"/>
        <v>2.2560280978029579E-2</v>
      </c>
    </row>
    <row r="215" spans="1:7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13">
        <v>38939042725</v>
      </c>
      <c r="F215" s="7">
        <v>8211291790399</v>
      </c>
      <c r="G215" s="9">
        <f t="shared" si="9"/>
        <v>4.7421336032083556E-3</v>
      </c>
    </row>
    <row r="216" spans="1:7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13">
        <v>5096771000000</v>
      </c>
      <c r="F216" s="7">
        <v>306754299000000</v>
      </c>
      <c r="G216" s="9">
        <f t="shared" si="9"/>
        <v>1.6615157527099564E-2</v>
      </c>
    </row>
    <row r="217" spans="1:7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13">
        <v>1533211000000</v>
      </c>
      <c r="F217" s="7">
        <v>160813918000000</v>
      </c>
      <c r="G217" s="9">
        <f t="shared" si="9"/>
        <v>9.5340690598683126E-3</v>
      </c>
    </row>
    <row r="218" spans="1:7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13">
        <v>2013413000000</v>
      </c>
      <c r="F218" s="7">
        <v>255112471000000</v>
      </c>
      <c r="G218" s="9">
        <f t="shared" si="9"/>
        <v>7.8922562746844317E-3</v>
      </c>
    </row>
    <row r="219" spans="1:7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13">
        <v>51897934983</v>
      </c>
      <c r="F219" s="7">
        <v>1316472328512</v>
      </c>
      <c r="G219" s="9">
        <f t="shared" si="9"/>
        <v>3.942197177942957E-2</v>
      </c>
    </row>
    <row r="220" spans="1:7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13">
        <v>630154605091</v>
      </c>
      <c r="F220" s="7">
        <v>3278744462524</v>
      </c>
      <c r="G220" s="9">
        <f t="shared" si="9"/>
        <v>0.19219387551962577</v>
      </c>
    </row>
    <row r="221" spans="1:7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13">
        <v>3629564000000</v>
      </c>
      <c r="F221" s="7">
        <v>209169704000000</v>
      </c>
      <c r="G221" s="9">
        <f t="shared" si="9"/>
        <v>1.7352245237197448E-2</v>
      </c>
    </row>
    <row r="222" spans="1:7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13">
        <v>1357750000000</v>
      </c>
      <c r="F222" s="7">
        <v>18918152000000</v>
      </c>
      <c r="G222" s="9">
        <f t="shared" si="9"/>
        <v>7.1769695052666879E-2</v>
      </c>
    </row>
    <row r="223" spans="1:7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13">
        <v>45420000000</v>
      </c>
      <c r="F223" s="7">
        <v>5636441000000</v>
      </c>
      <c r="G223" s="9">
        <f t="shared" si="9"/>
        <v>8.0582764904307529E-3</v>
      </c>
    </row>
    <row r="224" spans="1:7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13">
        <v>135959000000</v>
      </c>
      <c r="F224" s="7">
        <v>25022953000000</v>
      </c>
      <c r="G224" s="9">
        <f t="shared" si="9"/>
        <v>5.4333715129465335E-3</v>
      </c>
    </row>
    <row r="225" spans="1:7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13">
        <v>4982717000000</v>
      </c>
      <c r="F225" s="7">
        <v>180338966000000</v>
      </c>
      <c r="G225" s="9">
        <f t="shared" si="9"/>
        <v>2.7629730337923753E-2</v>
      </c>
    </row>
    <row r="226" spans="1:7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13">
        <v>658514000000</v>
      </c>
      <c r="F226" s="7">
        <v>6568387000000</v>
      </c>
      <c r="G226" s="9">
        <f t="shared" si="9"/>
        <v>0.1002550550081778</v>
      </c>
    </row>
    <row r="227" spans="1:7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13">
        <v>255629407542</v>
      </c>
      <c r="F227" s="7">
        <v>2102240427904</v>
      </c>
      <c r="G227" s="9">
        <f t="shared" si="9"/>
        <v>0.12159855939830373</v>
      </c>
    </row>
    <row r="228" spans="1:7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13">
        <v>1984849000000</v>
      </c>
      <c r="F228" s="7">
        <v>33868608000000</v>
      </c>
      <c r="G228" s="9">
        <f t="shared" si="9"/>
        <v>5.8604386693424187E-2</v>
      </c>
    </row>
    <row r="229" spans="1:7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13">
        <v>2403772000000</v>
      </c>
      <c r="F229" s="7">
        <v>35694847000000</v>
      </c>
      <c r="G229" s="9">
        <f t="shared" si="9"/>
        <v>6.7342269319714418E-2</v>
      </c>
    </row>
    <row r="230" spans="1:7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13">
        <v>1984849000000</v>
      </c>
      <c r="F230" s="7">
        <v>33868608000000</v>
      </c>
      <c r="G230" s="9">
        <f t="shared" si="9"/>
        <v>5.8604386693424187E-2</v>
      </c>
    </row>
    <row r="231" spans="1:7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13">
        <v>860571000000</v>
      </c>
      <c r="F231" s="7">
        <v>51499424000000</v>
      </c>
      <c r="G231" s="9">
        <f t="shared" si="9"/>
        <v>1.6710303400674927E-2</v>
      </c>
    </row>
    <row r="232" spans="1:7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13">
        <v>4626223000000</v>
      </c>
      <c r="F232" s="7">
        <v>63771150000000</v>
      </c>
      <c r="G232" s="9">
        <f t="shared" si="9"/>
        <v>7.2544136337513124E-2</v>
      </c>
    </row>
    <row r="233" spans="1:7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13">
        <v>177534161000</v>
      </c>
      <c r="F233" s="7">
        <v>2109833544000</v>
      </c>
      <c r="G233" s="9">
        <f t="shared" ref="G233:G249" si="10">E233/F233</f>
        <v>8.4146051002400787E-2</v>
      </c>
    </row>
    <row r="234" spans="1:7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13">
        <v>23892000000</v>
      </c>
      <c r="F234" s="7">
        <v>374678000000</v>
      </c>
      <c r="G234" s="9">
        <f t="shared" si="10"/>
        <v>6.3766754386433144E-2</v>
      </c>
    </row>
    <row r="235" spans="1:7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13">
        <v>197603000000</v>
      </c>
      <c r="F235" s="7">
        <v>5646226000000</v>
      </c>
      <c r="G235" s="9">
        <f t="shared" si="10"/>
        <v>3.4997359298051478E-2</v>
      </c>
    </row>
    <row r="236" spans="1:7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13">
        <v>34888000000</v>
      </c>
      <c r="F236" s="7">
        <v>34937618000000</v>
      </c>
      <c r="G236" s="9">
        <f t="shared" si="10"/>
        <v>9.9857981159448246E-4</v>
      </c>
    </row>
    <row r="237" spans="1:7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13">
        <v>4260182000000</v>
      </c>
      <c r="F237" s="7">
        <v>305727438000000</v>
      </c>
      <c r="G237" s="9">
        <f t="shared" si="10"/>
        <v>1.3934575280089843E-2</v>
      </c>
    </row>
    <row r="238" spans="1:7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13">
        <v>1779580000000</v>
      </c>
      <c r="F238" s="7">
        <v>21161976000000</v>
      </c>
      <c r="G238" s="9">
        <f t="shared" si="10"/>
        <v>8.4093281270142262E-2</v>
      </c>
    </row>
    <row r="239" spans="1:7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13">
        <v>395105340000</v>
      </c>
      <c r="F239" s="7">
        <v>21581305468000</v>
      </c>
      <c r="G239" s="9">
        <f t="shared" si="10"/>
        <v>1.8307759027175085E-2</v>
      </c>
    </row>
    <row r="240" spans="1:7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13">
        <v>118472000000</v>
      </c>
      <c r="F240" s="7">
        <v>393081000000</v>
      </c>
      <c r="G240" s="9">
        <f t="shared" si="10"/>
        <v>0.30139335149752849</v>
      </c>
    </row>
    <row r="241" spans="1:7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13">
        <v>74812406596</v>
      </c>
      <c r="F241" s="7">
        <v>3313589745696</v>
      </c>
      <c r="G241" s="9">
        <f t="shared" si="10"/>
        <v>2.2577449937239015E-2</v>
      </c>
    </row>
    <row r="242" spans="1:7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13">
        <v>3322103916</v>
      </c>
      <c r="F242" s="7">
        <v>1038909850191</v>
      </c>
      <c r="G242" s="9">
        <f t="shared" si="10"/>
        <v>3.1976825663836399E-3</v>
      </c>
    </row>
    <row r="243" spans="1:7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13">
        <v>902000000000</v>
      </c>
      <c r="F243" s="7">
        <v>114406803000000</v>
      </c>
      <c r="G243" s="9">
        <f t="shared" si="10"/>
        <v>7.8841465397822535E-3</v>
      </c>
    </row>
    <row r="244" spans="1:7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13">
        <v>1749860911</v>
      </c>
      <c r="F244" s="7">
        <v>509387241941</v>
      </c>
      <c r="G244" s="9">
        <f t="shared" si="10"/>
        <v>3.4352272042233018E-3</v>
      </c>
    </row>
    <row r="245" spans="1:7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13">
        <v>56904251000</v>
      </c>
      <c r="F245" s="7">
        <v>1601438462000</v>
      </c>
      <c r="G245" s="9">
        <f t="shared" si="10"/>
        <v>3.5533211141272066E-2</v>
      </c>
    </row>
    <row r="246" spans="1:7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13">
        <v>304602238519</v>
      </c>
      <c r="F246" s="7">
        <v>21271327194429</v>
      </c>
      <c r="G246" s="9">
        <f t="shared" si="10"/>
        <v>1.4319851118588214E-2</v>
      </c>
    </row>
    <row r="247" spans="1:7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13">
        <v>86497518155</v>
      </c>
      <c r="F247" s="7">
        <v>1627241657686</v>
      </c>
      <c r="G247" s="9">
        <f t="shared" si="10"/>
        <v>5.3155914332971774E-2</v>
      </c>
    </row>
    <row r="248" spans="1:7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13">
        <v>52505000000</v>
      </c>
      <c r="F248" s="7">
        <v>16862363000000</v>
      </c>
      <c r="G248" s="9">
        <f t="shared" si="10"/>
        <v>3.113739159808148E-3</v>
      </c>
    </row>
    <row r="249" spans="1:7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13">
        <v>32129000000</v>
      </c>
      <c r="F249" s="7">
        <v>20628501000000</v>
      </c>
      <c r="G249" s="9">
        <f t="shared" si="10"/>
        <v>1.5575053175216173E-3</v>
      </c>
    </row>
    <row r="250" spans="1:7" x14ac:dyDescent="0.35">
      <c r="A250" s="4">
        <v>249</v>
      </c>
    </row>
    <row r="251" spans="1:7" x14ac:dyDescent="0.35">
      <c r="A251" s="4">
        <v>250</v>
      </c>
    </row>
    <row r="252" spans="1:7" x14ac:dyDescent="0.35">
      <c r="A252" s="4">
        <v>251</v>
      </c>
    </row>
    <row r="253" spans="1:7" x14ac:dyDescent="0.35">
      <c r="A253" s="4">
        <v>252</v>
      </c>
    </row>
    <row r="258" spans="2:7" ht="15.5" x14ac:dyDescent="0.35">
      <c r="B258" s="52"/>
      <c r="C258" s="52"/>
      <c r="D258" s="2"/>
      <c r="E258" s="53"/>
      <c r="F258" s="54"/>
      <c r="G258" s="55"/>
    </row>
    <row r="259" spans="2:7" ht="15.5" x14ac:dyDescent="0.35">
      <c r="B259" s="52"/>
      <c r="C259" s="52"/>
      <c r="D259" s="2"/>
      <c r="E259" s="53"/>
      <c r="F259" s="54"/>
      <c r="G259" s="55"/>
    </row>
    <row r="260" spans="2:7" ht="15.5" x14ac:dyDescent="0.35">
      <c r="B260" s="52"/>
      <c r="C260" s="52"/>
      <c r="D260" s="2"/>
      <c r="E260" s="53"/>
      <c r="F260" s="54"/>
      <c r="G260" s="55"/>
    </row>
    <row r="261" spans="2:7" ht="15.5" x14ac:dyDescent="0.35">
      <c r="B261" s="52"/>
      <c r="C261" s="52"/>
      <c r="D261" s="2"/>
      <c r="E261" s="53"/>
      <c r="F261" s="54"/>
      <c r="G261" s="55"/>
    </row>
    <row r="262" spans="2:7" ht="15.5" x14ac:dyDescent="0.35">
      <c r="B262" s="52"/>
      <c r="C262" s="52"/>
      <c r="D262" s="2"/>
    </row>
    <row r="263" spans="2:7" ht="15.5" x14ac:dyDescent="0.35">
      <c r="B263" s="52"/>
      <c r="C263" s="52"/>
      <c r="D263" s="2"/>
    </row>
    <row r="264" spans="2:7" ht="15.5" x14ac:dyDescent="0.35">
      <c r="B264" s="52"/>
      <c r="C264" s="52"/>
      <c r="D264" s="2"/>
    </row>
    <row r="265" spans="2:7" ht="15.5" x14ac:dyDescent="0.35">
      <c r="B265" s="52"/>
      <c r="C265" s="52"/>
      <c r="D265" s="2"/>
    </row>
    <row r="266" spans="2:7" x14ac:dyDescent="0.35">
      <c r="D266" s="2"/>
      <c r="E266" s="53"/>
      <c r="F266" s="54"/>
      <c r="G266" s="55"/>
    </row>
    <row r="267" spans="2:7" x14ac:dyDescent="0.35">
      <c r="D267" s="2"/>
      <c r="E267" s="53"/>
      <c r="F267" s="54"/>
      <c r="G267" s="55"/>
    </row>
    <row r="268" spans="2:7" x14ac:dyDescent="0.35">
      <c r="D268" s="2"/>
      <c r="E268" s="53"/>
      <c r="F268" s="54"/>
      <c r="G268" s="55"/>
    </row>
    <row r="269" spans="2:7" x14ac:dyDescent="0.35">
      <c r="D269" s="2"/>
      <c r="E269" s="53"/>
      <c r="F269" s="54"/>
      <c r="G269" s="55"/>
    </row>
  </sheetData>
  <pageMargins left="0.7" right="0.7" top="0.75" bottom="0.75" header="0.3" footer="0.3"/>
  <pageSetup paperSize="9" orientation="portrait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5"/>
  <sheetViews>
    <sheetView topLeftCell="A217" workbookViewId="0">
      <selection activeCell="F225" sqref="F225"/>
    </sheetView>
  </sheetViews>
  <sheetFormatPr defaultRowHeight="14.5" x14ac:dyDescent="0.35"/>
  <cols>
    <col min="1" max="1" width="9.1796875" style="2"/>
    <col min="2" max="2" width="17.26953125" customWidth="1"/>
    <col min="3" max="3" width="39.1796875" customWidth="1"/>
    <col min="4" max="4" width="13.81640625" customWidth="1"/>
    <col min="5" max="5" width="24.1796875" customWidth="1"/>
    <col min="6" max="6" width="25.54296875" customWidth="1"/>
  </cols>
  <sheetData>
    <row r="1" spans="1:7" ht="43.5" customHeight="1" x14ac:dyDescent="0.35">
      <c r="A1" s="5" t="s">
        <v>0</v>
      </c>
      <c r="B1" s="5" t="s">
        <v>1</v>
      </c>
      <c r="C1" s="5" t="s">
        <v>2</v>
      </c>
      <c r="D1" s="5" t="s">
        <v>6</v>
      </c>
      <c r="E1" s="8" t="s">
        <v>19</v>
      </c>
      <c r="F1" s="8" t="s">
        <v>20</v>
      </c>
      <c r="G1" s="5" t="s">
        <v>21</v>
      </c>
    </row>
    <row r="2" spans="1:7" ht="15.5" x14ac:dyDescent="0.35">
      <c r="A2" s="4">
        <v>1</v>
      </c>
      <c r="B2" s="17" t="s">
        <v>26</v>
      </c>
      <c r="C2" s="18" t="s">
        <v>239</v>
      </c>
      <c r="D2" s="4">
        <v>2019</v>
      </c>
      <c r="E2" s="7">
        <v>67529638000000</v>
      </c>
      <c r="F2" s="7">
        <v>76715290000000</v>
      </c>
      <c r="G2" s="9">
        <f>E2/F2</f>
        <v>0.88026308705865541</v>
      </c>
    </row>
    <row r="3" spans="1:7" ht="15.5" x14ac:dyDescent="0.35">
      <c r="A3" s="4">
        <v>2</v>
      </c>
      <c r="B3" s="17" t="s">
        <v>29</v>
      </c>
      <c r="C3" s="17" t="s">
        <v>30</v>
      </c>
      <c r="D3" s="4">
        <v>2019</v>
      </c>
      <c r="E3" s="7">
        <v>6172266324</v>
      </c>
      <c r="F3" s="7">
        <v>12117478069</v>
      </c>
      <c r="G3" s="9">
        <f t="shared" ref="G3:G40" si="0">E3/F3</f>
        <v>0.50936888755676279</v>
      </c>
    </row>
    <row r="4" spans="1:7" ht="15.5" x14ac:dyDescent="0.35">
      <c r="A4" s="4">
        <v>3</v>
      </c>
      <c r="B4" s="17" t="s">
        <v>31</v>
      </c>
      <c r="C4" s="17" t="s">
        <v>32</v>
      </c>
      <c r="D4" s="4">
        <v>2019</v>
      </c>
      <c r="E4" s="7">
        <v>2523111000000</v>
      </c>
      <c r="F4" s="7">
        <v>3475230000000</v>
      </c>
      <c r="G4" s="9">
        <f t="shared" si="0"/>
        <v>0.72602705432446202</v>
      </c>
    </row>
    <row r="5" spans="1:7" ht="15.5" x14ac:dyDescent="0.35">
      <c r="A5" s="4">
        <v>4</v>
      </c>
      <c r="B5" s="17" t="s">
        <v>33</v>
      </c>
      <c r="C5" s="17" t="s">
        <v>34</v>
      </c>
      <c r="D5" s="4">
        <v>2019</v>
      </c>
      <c r="E5" s="7">
        <v>1124920540</v>
      </c>
      <c r="F5" s="14">
        <v>136698444824</v>
      </c>
      <c r="G5" s="9">
        <f t="shared" si="0"/>
        <v>8.2292124204363954E-3</v>
      </c>
    </row>
    <row r="6" spans="1:7" ht="15.5" x14ac:dyDescent="0.35">
      <c r="A6" s="4">
        <v>5</v>
      </c>
      <c r="B6" s="17" t="s">
        <v>35</v>
      </c>
      <c r="C6" s="17" t="s">
        <v>36</v>
      </c>
      <c r="D6" s="4">
        <v>2019</v>
      </c>
      <c r="E6" s="7">
        <v>1575194310012</v>
      </c>
      <c r="F6" s="7">
        <v>2423706043201</v>
      </c>
      <c r="G6" s="9">
        <f t="shared" si="0"/>
        <v>0.64991145045445919</v>
      </c>
    </row>
    <row r="7" spans="1:7" ht="15.5" x14ac:dyDescent="0.35">
      <c r="A7" s="4">
        <v>6</v>
      </c>
      <c r="B7" s="17" t="s">
        <v>37</v>
      </c>
      <c r="C7" s="17" t="s">
        <v>38</v>
      </c>
      <c r="D7" s="4">
        <v>2019</v>
      </c>
      <c r="E7" s="7">
        <v>153042184000000</v>
      </c>
      <c r="F7" s="7">
        <v>180706987000000</v>
      </c>
      <c r="G7" s="9">
        <f t="shared" si="0"/>
        <v>0.84690795049335865</v>
      </c>
    </row>
    <row r="8" spans="1:7" ht="15.5" x14ac:dyDescent="0.35">
      <c r="A8" s="4">
        <v>7</v>
      </c>
      <c r="B8" s="17" t="s">
        <v>39</v>
      </c>
      <c r="C8" s="17" t="s">
        <v>40</v>
      </c>
      <c r="D8" s="4">
        <v>2019</v>
      </c>
      <c r="E8" s="7">
        <v>11683086000000</v>
      </c>
      <c r="F8" s="7">
        <v>13147503000000</v>
      </c>
      <c r="G8" s="9">
        <f t="shared" si="0"/>
        <v>0.8886163403043148</v>
      </c>
    </row>
    <row r="9" spans="1:7" ht="15.5" x14ac:dyDescent="0.35">
      <c r="A9" s="4">
        <v>8</v>
      </c>
      <c r="B9" s="17" t="s">
        <v>43</v>
      </c>
      <c r="C9" s="17" t="s">
        <v>44</v>
      </c>
      <c r="D9" s="4">
        <v>2019</v>
      </c>
      <c r="E9" s="7">
        <v>1325948582000</v>
      </c>
      <c r="F9" s="7">
        <v>2579654391000</v>
      </c>
      <c r="G9" s="9">
        <f t="shared" si="0"/>
        <v>0.51400241312402994</v>
      </c>
    </row>
    <row r="10" spans="1:7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7">
        <v>27038058000000</v>
      </c>
      <c r="F10" s="7">
        <v>35116853000000</v>
      </c>
      <c r="G10" s="9">
        <f t="shared" si="0"/>
        <v>0.7699453592837604</v>
      </c>
    </row>
    <row r="11" spans="1:7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7">
        <v>2675535753000</v>
      </c>
      <c r="F11" s="7">
        <v>4626630367000</v>
      </c>
      <c r="G11" s="9">
        <f t="shared" si="0"/>
        <v>0.5782903626975654</v>
      </c>
    </row>
    <row r="12" spans="1:7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7">
        <v>1818115863373</v>
      </c>
      <c r="F12" s="7">
        <v>3652947899747</v>
      </c>
      <c r="G12" s="9">
        <f t="shared" si="0"/>
        <v>0.49771196120780181</v>
      </c>
    </row>
    <row r="13" spans="1:7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7">
        <v>566035087000</v>
      </c>
      <c r="F13" s="14">
        <v>857520585000</v>
      </c>
      <c r="G13" s="9">
        <f t="shared" si="0"/>
        <v>0.66008338097213137</v>
      </c>
    </row>
    <row r="14" spans="1:7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7">
        <v>823936164000</v>
      </c>
      <c r="F14" s="7">
        <v>1158038755000</v>
      </c>
      <c r="G14" s="9">
        <f t="shared" si="0"/>
        <v>0.711492737563865</v>
      </c>
    </row>
    <row r="15" spans="1:7" ht="15.5" x14ac:dyDescent="0.35">
      <c r="A15" s="4">
        <v>14</v>
      </c>
      <c r="B15" s="17" t="s">
        <v>66</v>
      </c>
      <c r="C15" s="17" t="s">
        <v>67</v>
      </c>
      <c r="D15" s="4">
        <v>2019</v>
      </c>
      <c r="E15" s="7">
        <v>740067127000000</v>
      </c>
      <c r="F15" s="7">
        <v>918989312000000</v>
      </c>
      <c r="G15" s="9">
        <f t="shared" si="0"/>
        <v>0.80530547780734152</v>
      </c>
    </row>
    <row r="16" spans="1:7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7">
        <v>3843919000000</v>
      </c>
      <c r="F16" s="7">
        <v>5051402000000</v>
      </c>
      <c r="G16" s="9">
        <f t="shared" si="0"/>
        <v>0.76096081840249497</v>
      </c>
    </row>
    <row r="17" spans="1:7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7">
        <v>9419749653807</v>
      </c>
      <c r="F17" s="7">
        <v>12900218775263</v>
      </c>
      <c r="G17" s="9">
        <f t="shared" si="0"/>
        <v>0.73020076774744136</v>
      </c>
    </row>
    <row r="18" spans="1:7" ht="15.5" x14ac:dyDescent="0.35">
      <c r="A18" s="4">
        <v>17</v>
      </c>
      <c r="B18" s="17" t="s">
        <v>76</v>
      </c>
      <c r="C18" s="17" t="s">
        <v>77</v>
      </c>
      <c r="D18" s="4">
        <v>2019</v>
      </c>
      <c r="E18" s="7">
        <v>688489442000000</v>
      </c>
      <c r="F18" s="7">
        <v>845605208000000</v>
      </c>
      <c r="G18" s="9">
        <f t="shared" si="0"/>
        <v>0.81419725834990364</v>
      </c>
    </row>
    <row r="19" spans="1:7" ht="15.5" x14ac:dyDescent="0.35">
      <c r="A19" s="4">
        <v>18</v>
      </c>
      <c r="B19" s="17" t="s">
        <v>78</v>
      </c>
      <c r="C19" s="17" t="s">
        <v>79</v>
      </c>
      <c r="D19" s="4">
        <v>2019</v>
      </c>
      <c r="E19" s="7">
        <v>1183155670000000</v>
      </c>
      <c r="F19" s="7">
        <v>1416758840000000</v>
      </c>
      <c r="G19" s="9">
        <f>E19/F19</f>
        <v>0.83511437274674072</v>
      </c>
    </row>
    <row r="20" spans="1:7" ht="15.5" x14ac:dyDescent="0.35">
      <c r="A20" s="4">
        <v>19</v>
      </c>
      <c r="B20" s="17" t="s">
        <v>80</v>
      </c>
      <c r="C20" s="17" t="s">
        <v>81</v>
      </c>
      <c r="D20" s="4">
        <v>2019</v>
      </c>
      <c r="E20" s="7">
        <v>269451682000000</v>
      </c>
      <c r="F20" s="7">
        <v>311776828000000</v>
      </c>
      <c r="G20" s="9">
        <f t="shared" si="0"/>
        <v>0.86424537618299202</v>
      </c>
    </row>
    <row r="21" spans="1:7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7">
        <v>12839026000000</v>
      </c>
      <c r="F21" s="7">
        <v>18385005000000</v>
      </c>
      <c r="G21" s="9">
        <f t="shared" si="0"/>
        <v>0.69834226316500869</v>
      </c>
    </row>
    <row r="22" spans="1:7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7">
        <v>148116943000000</v>
      </c>
      <c r="F22" s="7">
        <v>193533970000000</v>
      </c>
      <c r="G22" s="9">
        <f t="shared" si="0"/>
        <v>0.76532788016491371</v>
      </c>
    </row>
    <row r="23" spans="1:7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7">
        <v>13009453000000</v>
      </c>
      <c r="F23" s="7">
        <v>19089633000000</v>
      </c>
      <c r="G23" s="9">
        <f t="shared" si="0"/>
        <v>0.68149309104056632</v>
      </c>
    </row>
    <row r="24" spans="1:7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7">
        <v>3669743000000</v>
      </c>
      <c r="F24" s="7">
        <v>4809743000000</v>
      </c>
      <c r="G24" s="9">
        <f t="shared" si="0"/>
        <v>0.76298109899011235</v>
      </c>
    </row>
    <row r="25" spans="1:7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7">
        <v>4123108496887</v>
      </c>
      <c r="F25" s="7">
        <v>5492915651332</v>
      </c>
      <c r="G25" s="9">
        <f t="shared" si="0"/>
        <v>0.75062294027529264</v>
      </c>
    </row>
    <row r="26" spans="1:7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7">
        <v>105920991000000</v>
      </c>
      <c r="F26" s="7">
        <v>123536474000000</v>
      </c>
      <c r="G26" s="9">
        <f t="shared" si="0"/>
        <v>0.85740662308364091</v>
      </c>
    </row>
    <row r="27" spans="1:7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7">
        <v>6340648554000</v>
      </c>
      <c r="F27" s="7">
        <v>7569580138000</v>
      </c>
      <c r="G27" s="9">
        <f t="shared" si="0"/>
        <v>0.83764864608135281</v>
      </c>
    </row>
    <row r="28" spans="1:7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7">
        <v>1025749580000000</v>
      </c>
      <c r="F28" s="7">
        <v>1318246335000000</v>
      </c>
      <c r="G28" s="9">
        <f t="shared" si="0"/>
        <v>0.77811676980691169</v>
      </c>
    </row>
    <row r="29" spans="1:7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7">
        <v>6083998151873</v>
      </c>
      <c r="F29" s="7">
        <v>7607653715376</v>
      </c>
      <c r="G29" s="9">
        <f t="shared" si="0"/>
        <v>0.79972069963916659</v>
      </c>
    </row>
    <row r="30" spans="1:7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7">
        <v>231173061000000</v>
      </c>
      <c r="F30" s="7">
        <v>274467227000000</v>
      </c>
      <c r="G30" s="9">
        <f t="shared" si="0"/>
        <v>0.84226107257607119</v>
      </c>
    </row>
    <row r="31" spans="1:7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7">
        <v>142397914000000</v>
      </c>
      <c r="F31" s="7">
        <v>169082830000000</v>
      </c>
      <c r="G31" s="9">
        <f t="shared" si="0"/>
        <v>0.84217843999890463</v>
      </c>
    </row>
    <row r="32" spans="1:7" ht="15.5" x14ac:dyDescent="0.35">
      <c r="A32" s="4">
        <v>31</v>
      </c>
      <c r="B32" s="17" t="s">
        <v>110</v>
      </c>
      <c r="C32" s="17" t="s">
        <v>111</v>
      </c>
      <c r="D32" s="4">
        <v>2019</v>
      </c>
      <c r="E32" s="7">
        <v>137413908000000</v>
      </c>
      <c r="F32" s="7">
        <v>161451259000000</v>
      </c>
      <c r="G32" s="9">
        <f t="shared" si="0"/>
        <v>0.85111698014073711</v>
      </c>
    </row>
    <row r="33" spans="1:7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7">
        <v>1002298779342</v>
      </c>
      <c r="F33" s="7">
        <v>1821625639974</v>
      </c>
      <c r="G33" s="9">
        <f t="shared" si="0"/>
        <v>0.55022215176786038</v>
      </c>
    </row>
    <row r="34" spans="1:7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7">
        <v>1474102968979</v>
      </c>
      <c r="F34" s="7">
        <v>2695471913420</v>
      </c>
      <c r="G34" s="9">
        <f t="shared" si="0"/>
        <v>0.54688122018257879</v>
      </c>
    </row>
    <row r="35" spans="1:7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7">
        <v>142608793000000</v>
      </c>
      <c r="F35" s="7">
        <v>181631385000000</v>
      </c>
      <c r="G35" s="9">
        <f t="shared" si="0"/>
        <v>0.78515501602324955</v>
      </c>
    </row>
    <row r="36" spans="1:7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7">
        <v>5949260469655</v>
      </c>
      <c r="F36" s="7">
        <v>15484342922485</v>
      </c>
      <c r="G36" s="9">
        <f t="shared" si="0"/>
        <v>0.38421136107855164</v>
      </c>
    </row>
    <row r="37" spans="1:7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7">
        <v>3399254000000</v>
      </c>
      <c r="F37" s="7">
        <v>4938822000000</v>
      </c>
      <c r="G37" s="9">
        <f t="shared" si="0"/>
        <v>0.6882722236193165</v>
      </c>
    </row>
    <row r="38" spans="1:7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7">
        <v>16098826000000</v>
      </c>
      <c r="F38" s="7">
        <v>18893684000000</v>
      </c>
      <c r="G38" s="9">
        <f t="shared" si="0"/>
        <v>0.85207448160983323</v>
      </c>
    </row>
    <row r="39" spans="1:7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7">
        <v>99286399000000</v>
      </c>
      <c r="F39" s="7">
        <v>118357444000000</v>
      </c>
      <c r="G39" s="9">
        <f t="shared" si="0"/>
        <v>0.83886907020398316</v>
      </c>
    </row>
    <row r="40" spans="1:7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7">
        <v>2448259000000</v>
      </c>
      <c r="F40" s="7">
        <v>4726154000000</v>
      </c>
      <c r="G40" s="9">
        <f t="shared" si="0"/>
        <v>0.51802353456954642</v>
      </c>
    </row>
    <row r="41" spans="1:7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7">
        <v>979261751757</v>
      </c>
      <c r="F41" s="7">
        <v>2332899849906</v>
      </c>
      <c r="G41" s="9">
        <f t="shared" ref="G41:G44" si="1">E41/F41</f>
        <v>0.41976159062141377</v>
      </c>
    </row>
    <row r="42" spans="1:7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7">
        <v>166845656000000</v>
      </c>
      <c r="F42" s="7">
        <v>211287370000000</v>
      </c>
      <c r="G42" s="9">
        <f t="shared" si="1"/>
        <v>0.78966223111206313</v>
      </c>
    </row>
    <row r="43" spans="1:7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7">
        <v>4354591000000</v>
      </c>
      <c r="F43" s="7">
        <v>32244734000000</v>
      </c>
      <c r="G43" s="9">
        <f t="shared" si="1"/>
        <v>0.1350481290991577</v>
      </c>
    </row>
    <row r="44" spans="1:7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7">
        <v>4394402000000</v>
      </c>
      <c r="F44" s="7">
        <v>30289386000000</v>
      </c>
      <c r="G44" s="9">
        <f t="shared" si="1"/>
        <v>0.1450805902767392</v>
      </c>
    </row>
    <row r="45" spans="1:7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7">
        <v>30000672000000</v>
      </c>
      <c r="F45" s="7">
        <v>36936262000000</v>
      </c>
      <c r="G45" s="9">
        <f t="shared" ref="G45:G76" si="2">E45/F45</f>
        <v>0.81222815670952297</v>
      </c>
    </row>
    <row r="46" spans="1:7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7">
        <v>3883358000000</v>
      </c>
      <c r="F46" s="7">
        <v>26657523000000</v>
      </c>
      <c r="G46" s="9">
        <f t="shared" si="2"/>
        <v>0.14567587543673882</v>
      </c>
    </row>
    <row r="47" spans="1:7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7">
        <v>2193136067000</v>
      </c>
      <c r="F47" s="7">
        <v>3050556600000</v>
      </c>
      <c r="G47" s="9">
        <f t="shared" si="2"/>
        <v>0.71892980677690099</v>
      </c>
    </row>
    <row r="48" spans="1:7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7">
        <v>29812000000</v>
      </c>
      <c r="F48" s="7">
        <v>314245000000</v>
      </c>
      <c r="G48" s="9">
        <f t="shared" si="2"/>
        <v>9.4868653439195538E-2</v>
      </c>
    </row>
    <row r="49" spans="1:7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7">
        <v>6900593000000</v>
      </c>
      <c r="F49" s="7">
        <v>8271170000000</v>
      </c>
      <c r="G49" s="9">
        <f t="shared" si="2"/>
        <v>0.83429466447914868</v>
      </c>
    </row>
    <row r="50" spans="1:7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7">
        <v>26166001000000</v>
      </c>
      <c r="F50" s="7">
        <v>35981240000000</v>
      </c>
      <c r="G50" s="9">
        <f t="shared" si="2"/>
        <v>0.72721231953095555</v>
      </c>
    </row>
    <row r="51" spans="1:7" ht="15.5" x14ac:dyDescent="0.35">
      <c r="A51" s="4">
        <v>50</v>
      </c>
      <c r="B51" s="17" t="s">
        <v>190</v>
      </c>
      <c r="C51" s="17" t="s">
        <v>191</v>
      </c>
      <c r="D51" s="4">
        <v>2019</v>
      </c>
      <c r="E51" s="7">
        <v>11880036000000</v>
      </c>
      <c r="F51" s="14">
        <v>43123488000000</v>
      </c>
      <c r="G51" s="9">
        <f t="shared" si="2"/>
        <v>0.27548875452746308</v>
      </c>
    </row>
    <row r="52" spans="1:7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7">
        <v>2439054000000</v>
      </c>
      <c r="F52" s="7">
        <v>15383038000000</v>
      </c>
      <c r="G52" s="9">
        <f t="shared" si="2"/>
        <v>0.15855476662022158</v>
      </c>
    </row>
    <row r="53" spans="1:7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7">
        <v>12457437608000</v>
      </c>
      <c r="F53" s="7">
        <v>20734506631000</v>
      </c>
      <c r="G53" s="9">
        <f t="shared" si="2"/>
        <v>0.60080704256425288</v>
      </c>
    </row>
    <row r="54" spans="1:7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7">
        <v>58103373660</v>
      </c>
      <c r="F54" s="7">
        <v>106548732013</v>
      </c>
      <c r="G54" s="9">
        <f t="shared" si="2"/>
        <v>0.54532205651129484</v>
      </c>
    </row>
    <row r="55" spans="1:7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7">
        <v>452297420963</v>
      </c>
      <c r="F55" s="7">
        <v>953737479075</v>
      </c>
      <c r="G55" s="9">
        <f t="shared" si="2"/>
        <v>0.47423681137252682</v>
      </c>
    </row>
    <row r="56" spans="1:7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7">
        <v>90794998683</v>
      </c>
      <c r="F56" s="7">
        <v>401007159459</v>
      </c>
      <c r="G56" s="9">
        <f t="shared" si="2"/>
        <v>0.22641740064065644</v>
      </c>
    </row>
    <row r="57" spans="1:7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7">
        <v>77460793000000</v>
      </c>
      <c r="F57" s="7">
        <v>99625400000000</v>
      </c>
      <c r="G57" s="9">
        <f t="shared" si="2"/>
        <v>0.77752052187494358</v>
      </c>
    </row>
    <row r="58" spans="1:7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7">
        <v>89794451847</v>
      </c>
      <c r="F58" s="7">
        <v>579813156839</v>
      </c>
      <c r="G58" s="9">
        <f t="shared" si="2"/>
        <v>0.1548679100980348</v>
      </c>
    </row>
    <row r="59" spans="1:7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7">
        <v>841356595000</v>
      </c>
      <c r="F59" s="7">
        <v>1212066160000</v>
      </c>
      <c r="G59" s="9">
        <f t="shared" si="2"/>
        <v>0.69415071781230164</v>
      </c>
    </row>
    <row r="60" spans="1:7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7">
        <v>12748876497642</v>
      </c>
      <c r="F60" s="7">
        <v>14412875999590</v>
      </c>
      <c r="G60" s="9">
        <f t="shared" si="2"/>
        <v>0.8845477126150717</v>
      </c>
    </row>
    <row r="61" spans="1:7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7">
        <v>1104712550189</v>
      </c>
      <c r="F61" s="7">
        <v>1548001829554</v>
      </c>
      <c r="G61" s="9">
        <f t="shared" si="2"/>
        <v>0.71363775487738434</v>
      </c>
    </row>
    <row r="62" spans="1:7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7">
        <v>9048429000000</v>
      </c>
      <c r="F62" s="7">
        <v>10607879000000</v>
      </c>
      <c r="G62" s="9">
        <f t="shared" si="2"/>
        <v>0.85299134728063919</v>
      </c>
    </row>
    <row r="63" spans="1:7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7">
        <v>17421982000000</v>
      </c>
      <c r="F63" s="7">
        <v>18959622000000</v>
      </c>
      <c r="G63" s="9">
        <f t="shared" si="2"/>
        <v>0.91889922699935689</v>
      </c>
    </row>
    <row r="64" spans="1:7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7">
        <v>73614504000000</v>
      </c>
      <c r="F64" s="7">
        <v>83619452000000</v>
      </c>
      <c r="G64" s="9">
        <f t="shared" si="2"/>
        <v>0.88035142827771706</v>
      </c>
    </row>
    <row r="65" spans="1:7" ht="15.5" x14ac:dyDescent="0.35">
      <c r="A65" s="4">
        <v>64</v>
      </c>
      <c r="B65" s="17" t="s">
        <v>29</v>
      </c>
      <c r="C65" s="17" t="s">
        <v>30</v>
      </c>
      <c r="D65" s="4">
        <v>2020</v>
      </c>
      <c r="E65" s="7">
        <v>6172266324</v>
      </c>
      <c r="F65" s="7">
        <v>10917456216</v>
      </c>
      <c r="G65" s="9">
        <f t="shared" si="2"/>
        <v>0.56535755233479013</v>
      </c>
    </row>
    <row r="66" spans="1:7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7">
        <v>4165154000000</v>
      </c>
      <c r="F66" s="7">
        <v>5184821000000</v>
      </c>
      <c r="G66" s="9">
        <f t="shared" si="2"/>
        <v>0.80333612288640244</v>
      </c>
    </row>
    <row r="67" spans="1:7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7">
        <v>1138775897</v>
      </c>
      <c r="F67" s="7">
        <v>141322097298</v>
      </c>
      <c r="G67" s="9">
        <f t="shared" si="2"/>
        <v>8.0580172441023917E-3</v>
      </c>
    </row>
    <row r="68" spans="1:7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7">
        <v>1954498917680</v>
      </c>
      <c r="F68" s="7">
        <v>2815578393095</v>
      </c>
      <c r="G68" s="9">
        <f t="shared" si="2"/>
        <v>0.6941731483922684</v>
      </c>
    </row>
    <row r="69" spans="1:7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7">
        <v>176467884000000</v>
      </c>
      <c r="F69" s="7">
        <v>206297200000000</v>
      </c>
      <c r="G69" s="9">
        <f t="shared" si="2"/>
        <v>0.85540610342748225</v>
      </c>
    </row>
    <row r="70" spans="1:7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7">
        <v>12218080000000</v>
      </c>
      <c r="F70" s="7">
        <v>13737934000000</v>
      </c>
      <c r="G70" s="9">
        <f t="shared" si="2"/>
        <v>0.88936808111030374</v>
      </c>
    </row>
    <row r="71" spans="1:7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7">
        <v>1090227180000</v>
      </c>
      <c r="F71" s="7">
        <v>2467880020000</v>
      </c>
      <c r="G71" s="9">
        <f t="shared" si="2"/>
        <v>0.44176668685862613</v>
      </c>
    </row>
    <row r="72" spans="1:7" ht="15.5" x14ac:dyDescent="0.35">
      <c r="A72" s="4">
        <v>71</v>
      </c>
      <c r="B72" s="17" t="s">
        <v>45</v>
      </c>
      <c r="C72" s="17" t="s">
        <v>235</v>
      </c>
      <c r="D72" s="4">
        <v>2020</v>
      </c>
      <c r="E72" s="7">
        <v>3983324000000</v>
      </c>
      <c r="F72" s="7">
        <v>8441051000000</v>
      </c>
      <c r="G72" s="9">
        <f t="shared" si="2"/>
        <v>0.47189905617203354</v>
      </c>
    </row>
    <row r="73" spans="1:7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7">
        <v>2730755387000</v>
      </c>
      <c r="F73" s="7">
        <v>4737130041000</v>
      </c>
      <c r="G73" s="9">
        <f t="shared" si="2"/>
        <v>0.57645776311083541</v>
      </c>
    </row>
    <row r="74" spans="1:7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7">
        <v>2920986089935</v>
      </c>
      <c r="F74" s="7">
        <v>4881911874208</v>
      </c>
      <c r="G74" s="9">
        <f t="shared" si="2"/>
        <v>0.59832831177618828</v>
      </c>
    </row>
    <row r="75" spans="1:7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7">
        <v>557997452000</v>
      </c>
      <c r="F75" s="7">
        <v>871769183000</v>
      </c>
      <c r="G75" s="9">
        <f t="shared" si="2"/>
        <v>0.64007476162414423</v>
      </c>
    </row>
    <row r="76" spans="1:7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7">
        <v>508174714000</v>
      </c>
      <c r="F76" s="7">
        <v>859876511000</v>
      </c>
      <c r="G76" s="9">
        <f t="shared" si="2"/>
        <v>0.59098569096743236</v>
      </c>
    </row>
    <row r="77" spans="1:7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7">
        <v>885537919000000</v>
      </c>
      <c r="F77" s="7">
        <v>1075570256000000</v>
      </c>
      <c r="G77" s="9">
        <f t="shared" ref="G77:G102" si="3">E77/F77</f>
        <v>0.82331945687423325</v>
      </c>
    </row>
    <row r="78" spans="1:7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7">
        <v>2907239000000</v>
      </c>
      <c r="F78" s="7">
        <v>4115895000000</v>
      </c>
      <c r="G78" s="9">
        <f t="shared" si="3"/>
        <v>0.70634430664533476</v>
      </c>
    </row>
    <row r="79" spans="1:7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7">
        <v>10150492606994</v>
      </c>
      <c r="F79" s="7">
        <v>14159755232533</v>
      </c>
      <c r="G79" s="9">
        <f t="shared" si="3"/>
        <v>0.71685508967503575</v>
      </c>
    </row>
    <row r="80" spans="1:7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7">
        <v>746235663000000</v>
      </c>
      <c r="F80" s="7">
        <v>891337425000000</v>
      </c>
      <c r="G80" s="9">
        <f t="shared" si="3"/>
        <v>0.83720894250569589</v>
      </c>
    </row>
    <row r="81" spans="1:7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7">
        <v>1278346276000000</v>
      </c>
      <c r="F81" s="7">
        <v>1511804628000000</v>
      </c>
      <c r="G81" s="9">
        <f t="shared" si="3"/>
        <v>0.84557637430383625</v>
      </c>
    </row>
    <row r="82" spans="1:7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7">
        <v>321376142000000</v>
      </c>
      <c r="F82" s="7">
        <v>361208406000000</v>
      </c>
      <c r="G82" s="9">
        <f t="shared" si="3"/>
        <v>0.88972498054211946</v>
      </c>
    </row>
    <row r="83" spans="1:7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7">
        <v>14007412000000</v>
      </c>
      <c r="F83" s="7">
        <v>19101546000000</v>
      </c>
      <c r="G83" s="9">
        <f t="shared" si="3"/>
        <v>0.73331299990063636</v>
      </c>
    </row>
    <row r="84" spans="1:7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7">
        <v>157314569000000</v>
      </c>
      <c r="F84" s="7">
        <v>200890068000000</v>
      </c>
      <c r="G84" s="9">
        <f t="shared" si="3"/>
        <v>0.78308783787160652</v>
      </c>
    </row>
    <row r="85" spans="1:7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7">
        <v>8594377000000</v>
      </c>
      <c r="F85" s="7">
        <v>15200531000000</v>
      </c>
      <c r="G85" s="9">
        <f t="shared" si="3"/>
        <v>0.56539978767846988</v>
      </c>
    </row>
    <row r="86" spans="1:7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7">
        <v>4226331000000</v>
      </c>
      <c r="F86" s="7">
        <v>5365456000000</v>
      </c>
      <c r="G86" s="9">
        <f t="shared" si="3"/>
        <v>0.78769278883285965</v>
      </c>
    </row>
    <row r="87" spans="1:7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7">
        <v>7220541000000</v>
      </c>
      <c r="F87" s="7">
        <v>8437685000000</v>
      </c>
      <c r="G87" s="9">
        <f t="shared" si="3"/>
        <v>0.85574905913174049</v>
      </c>
    </row>
    <row r="88" spans="1:7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7">
        <v>122676884000000</v>
      </c>
      <c r="F88" s="7">
        <v>140934002000000</v>
      </c>
      <c r="G88" s="9">
        <f t="shared" si="3"/>
        <v>0.87045625795824633</v>
      </c>
    </row>
    <row r="89" spans="1:7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7">
        <v>8826257598000</v>
      </c>
      <c r="F89" s="7">
        <v>10110519691000</v>
      </c>
      <c r="G89" s="9">
        <f t="shared" si="3"/>
        <v>0.87297763792070937</v>
      </c>
    </row>
    <row r="90" spans="1:7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7">
        <v>1151267847000000</v>
      </c>
      <c r="F90" s="7">
        <v>1429334484000000</v>
      </c>
      <c r="G90" s="9">
        <f t="shared" si="3"/>
        <v>0.80545726692199504</v>
      </c>
    </row>
    <row r="91" spans="1:7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7">
        <v>6128138202911</v>
      </c>
      <c r="F91" s="7">
        <v>7637524325854</v>
      </c>
      <c r="G91" s="9">
        <f t="shared" si="3"/>
        <v>0.80237233185188894</v>
      </c>
    </row>
    <row r="92" spans="1:7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7">
        <v>239890554000000</v>
      </c>
      <c r="F92" s="7">
        <v>280943605000000</v>
      </c>
      <c r="G92" s="9">
        <f t="shared" si="3"/>
        <v>0.85387440657351854</v>
      </c>
    </row>
    <row r="93" spans="1:7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7">
        <v>146000782000000</v>
      </c>
      <c r="F93" s="7">
        <v>173224412000000</v>
      </c>
      <c r="G93" s="9">
        <f t="shared" si="3"/>
        <v>0.84284183917449229</v>
      </c>
    </row>
    <row r="94" spans="1:7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7">
        <v>162654644000000</v>
      </c>
      <c r="F94" s="7">
        <v>197726097000000</v>
      </c>
      <c r="G94" s="9">
        <f t="shared" si="3"/>
        <v>0.82262607955084455</v>
      </c>
    </row>
    <row r="95" spans="1:7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7">
        <v>613538953451</v>
      </c>
      <c r="F95" s="7">
        <v>1472642352942</v>
      </c>
      <c r="G95" s="9">
        <f t="shared" si="3"/>
        <v>0.41662454717894715</v>
      </c>
    </row>
    <row r="96" spans="1:7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7">
        <v>1410822001957</v>
      </c>
      <c r="F96" s="7">
        <v>2798907230186</v>
      </c>
      <c r="G96" s="9">
        <f t="shared" si="3"/>
        <v>0.5040617233545267</v>
      </c>
    </row>
    <row r="97" spans="1:7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7">
        <v>142277859000000</v>
      </c>
      <c r="F97" s="7">
        <v>183165978000000</v>
      </c>
      <c r="G97" s="9">
        <f t="shared" si="3"/>
        <v>0.77677012157792757</v>
      </c>
    </row>
    <row r="98" spans="1:7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7">
        <v>7087541084335</v>
      </c>
      <c r="F98" s="7">
        <v>17233361869538</v>
      </c>
      <c r="G98" s="9">
        <f t="shared" si="3"/>
        <v>0.41126862756030585</v>
      </c>
    </row>
    <row r="99" spans="1:7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7">
        <v>2978860000000</v>
      </c>
      <c r="F99" s="7">
        <v>4460807000000</v>
      </c>
      <c r="G99" s="9">
        <f t="shared" si="3"/>
        <v>0.66778499944068415</v>
      </c>
    </row>
    <row r="100" spans="1:7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7">
        <v>19218860000000</v>
      </c>
      <c r="F100" s="7">
        <v>25235573000000</v>
      </c>
      <c r="G100" s="9">
        <f t="shared" si="3"/>
        <v>0.76157811039202483</v>
      </c>
    </row>
    <row r="101" spans="1:7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7">
        <v>99594503000000</v>
      </c>
      <c r="F101" s="7">
        <v>112282629000000</v>
      </c>
      <c r="G101" s="9">
        <f t="shared" si="3"/>
        <v>0.88699831743341173</v>
      </c>
    </row>
    <row r="102" spans="1:7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7">
        <v>1875421000000</v>
      </c>
      <c r="F102" s="7">
        <v>4210393000000</v>
      </c>
      <c r="G102" s="9">
        <f t="shared" si="3"/>
        <v>0.44542659081943181</v>
      </c>
    </row>
    <row r="103" spans="1:7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7">
        <v>1596568109043</v>
      </c>
      <c r="F103" s="7">
        <v>2966070675948</v>
      </c>
      <c r="G103" s="9">
        <f t="shared" ref="G103:G106" si="4">E103/F103</f>
        <v>0.53827716311335472</v>
      </c>
    </row>
    <row r="104" spans="1:7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7">
        <v>170606759000000</v>
      </c>
      <c r="F104" s="7">
        <v>218067091000000</v>
      </c>
      <c r="G104" s="9">
        <f t="shared" si="4"/>
        <v>0.78235903555021058</v>
      </c>
    </row>
    <row r="105" spans="1:7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7">
        <v>4485718000000</v>
      </c>
      <c r="F105" s="7">
        <v>34211725000000</v>
      </c>
      <c r="G105" s="9">
        <f t="shared" si="4"/>
        <v>0.13111639357559432</v>
      </c>
    </row>
    <row r="106" spans="1:7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7">
        <v>4536463000000</v>
      </c>
      <c r="F106" s="7">
        <v>32381721000000</v>
      </c>
      <c r="G106" s="9">
        <f t="shared" si="4"/>
        <v>0.14009332610826955</v>
      </c>
    </row>
    <row r="107" spans="1:7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7">
        <v>30782968000000</v>
      </c>
      <c r="F107" s="7">
        <v>38053939000000</v>
      </c>
      <c r="G107" s="9">
        <f t="shared" ref="G107:G138" si="5">E107/F107</f>
        <v>0.80892987188527321</v>
      </c>
    </row>
    <row r="108" spans="1:7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7">
        <v>3652322000000</v>
      </c>
      <c r="F108" s="7">
        <v>35048949000000</v>
      </c>
      <c r="G108" s="9">
        <f t="shared" si="5"/>
        <v>0.10420632013815878</v>
      </c>
    </row>
    <row r="109" spans="1:7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7">
        <v>1854045110000</v>
      </c>
      <c r="F109" s="7">
        <v>2676388593000</v>
      </c>
      <c r="G109" s="9">
        <f t="shared" si="5"/>
        <v>0.69274137352445364</v>
      </c>
    </row>
    <row r="110" spans="1:7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7">
        <v>22707522985</v>
      </c>
      <c r="F110" s="7">
        <v>325525285622</v>
      </c>
      <c r="G110" s="9">
        <f t="shared" si="5"/>
        <v>6.9756556519446469E-2</v>
      </c>
    </row>
    <row r="111" spans="1:7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7">
        <v>4070357000000</v>
      </c>
      <c r="F111" s="7">
        <v>5283702000000</v>
      </c>
      <c r="G111" s="9">
        <f t="shared" si="5"/>
        <v>0.77036081898638498</v>
      </c>
    </row>
    <row r="112" spans="1:7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7">
        <v>23921451000000</v>
      </c>
      <c r="F112" s="7">
        <v>33838539000000</v>
      </c>
      <c r="G112" s="9">
        <f t="shared" si="5"/>
        <v>0.70692919100319318</v>
      </c>
    </row>
    <row r="113" spans="1:7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7">
        <v>17475112000000</v>
      </c>
      <c r="F113" s="7">
        <v>57715586000000</v>
      </c>
      <c r="G113" s="9">
        <f t="shared" si="5"/>
        <v>0.30277977252106564</v>
      </c>
    </row>
    <row r="114" spans="1:7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7">
        <v>2632890000000</v>
      </c>
      <c r="F114" s="7">
        <v>16435005000000</v>
      </c>
      <c r="G114" s="9">
        <f t="shared" si="5"/>
        <v>0.16020013379977677</v>
      </c>
    </row>
    <row r="115" spans="1:7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7">
        <v>11001531708000</v>
      </c>
      <c r="F115" s="7">
        <v>19460094655000</v>
      </c>
      <c r="G115" s="9">
        <f t="shared" si="5"/>
        <v>0.56533803678972905</v>
      </c>
    </row>
    <row r="116" spans="1:7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7">
        <v>50845571299</v>
      </c>
      <c r="F116" s="7">
        <v>336398988799</v>
      </c>
      <c r="G116" s="9">
        <f t="shared" si="5"/>
        <v>0.15114662347983593</v>
      </c>
    </row>
    <row r="117" spans="1:7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7">
        <v>432251684035</v>
      </c>
      <c r="F117" s="7">
        <v>1441234275187</v>
      </c>
      <c r="G117" s="9">
        <f t="shared" si="5"/>
        <v>0.2999177104492019</v>
      </c>
    </row>
    <row r="118" spans="1:7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7">
        <v>132240707576</v>
      </c>
      <c r="F118" s="7">
        <v>651765765501</v>
      </c>
      <c r="G118" s="9">
        <f t="shared" si="5"/>
        <v>0.20289606262818832</v>
      </c>
    </row>
    <row r="119" spans="1:7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7">
        <v>85533983000000</v>
      </c>
      <c r="F119" s="7">
        <v>108456227000000</v>
      </c>
      <c r="G119" s="9">
        <f t="shared" si="5"/>
        <v>0.7886498116885442</v>
      </c>
    </row>
    <row r="120" spans="1:7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7">
        <v>1718284921</v>
      </c>
      <c r="F120" s="7">
        <v>497557497473</v>
      </c>
      <c r="G120" s="9">
        <f t="shared" si="5"/>
        <v>3.453439913430795E-3</v>
      </c>
    </row>
    <row r="121" spans="1:7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7">
        <v>738620372000</v>
      </c>
      <c r="F121" s="7">
        <v>1103815967000</v>
      </c>
      <c r="G121" s="9">
        <f t="shared" si="5"/>
        <v>0.66915173732035715</v>
      </c>
    </row>
    <row r="122" spans="1:7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7">
        <v>19648095743949</v>
      </c>
      <c r="F122" s="7">
        <v>21537936008109</v>
      </c>
      <c r="G122" s="9">
        <f t="shared" si="5"/>
        <v>0.91225527536861106</v>
      </c>
    </row>
    <row r="123" spans="1:7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7">
        <v>1013381758085</v>
      </c>
      <c r="F123" s="7">
        <v>1516582973028</v>
      </c>
      <c r="G123" s="9">
        <f t="shared" si="5"/>
        <v>0.66820066960246061</v>
      </c>
    </row>
    <row r="124" spans="1:7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7">
        <v>10101667000000</v>
      </c>
      <c r="F124" s="7">
        <v>11652904000000</v>
      </c>
      <c r="G124" s="9">
        <f t="shared" si="5"/>
        <v>0.86687979236763646</v>
      </c>
    </row>
    <row r="125" spans="1:7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7">
        <v>18583167000000</v>
      </c>
      <c r="F125" s="7">
        <v>20223558000000</v>
      </c>
      <c r="G125" s="9">
        <f t="shared" si="5"/>
        <v>0.9188871216429868</v>
      </c>
    </row>
    <row r="126" spans="1:7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7">
        <v>89812791000000</v>
      </c>
      <c r="F126" s="7">
        <v>100723330000000</v>
      </c>
      <c r="G126" s="9">
        <f t="shared" si="5"/>
        <v>0.89167813454936407</v>
      </c>
    </row>
    <row r="127" spans="1:7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7">
        <v>2317783818000</v>
      </c>
      <c r="F127" s="7">
        <f>7123904019000+0</f>
        <v>7123904019000</v>
      </c>
      <c r="G127" s="9">
        <f t="shared" si="5"/>
        <v>0.3253530384208283</v>
      </c>
    </row>
    <row r="128" spans="1:7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7">
        <v>3990215000000</v>
      </c>
      <c r="F128" s="7">
        <f>5087106000000+0</f>
        <v>5087106000000</v>
      </c>
      <c r="G128" s="9">
        <f t="shared" si="5"/>
        <v>0.78437819066479053</v>
      </c>
    </row>
    <row r="129" spans="1:7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7">
        <v>4296566297</v>
      </c>
      <c r="F129" s="7">
        <v>153713575228</v>
      </c>
      <c r="G129" s="9">
        <f t="shared" si="5"/>
        <v>2.7951768675128379E-2</v>
      </c>
    </row>
    <row r="130" spans="1:7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7">
        <v>2051451547356</v>
      </c>
      <c r="F130" s="7">
        <v>2923286260687</v>
      </c>
      <c r="G130" s="9">
        <f t="shared" si="5"/>
        <v>0.70176211442046366</v>
      </c>
    </row>
    <row r="131" spans="1:7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7">
        <v>182068037000000</v>
      </c>
      <c r="F131" s="7">
        <v>214395608000000</v>
      </c>
      <c r="G131" s="9">
        <f t="shared" si="5"/>
        <v>0.84921533000806626</v>
      </c>
    </row>
    <row r="132" spans="1:7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7">
        <v>18977960000000</v>
      </c>
      <c r="F132" s="7">
        <v>20742643000000</v>
      </c>
      <c r="G132" s="9">
        <f t="shared" si="5"/>
        <v>0.91492487239933695</v>
      </c>
    </row>
    <row r="133" spans="1:7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7">
        <v>983756580000</v>
      </c>
      <c r="F133" s="7">
        <v>2501390090000</v>
      </c>
      <c r="G133" s="9">
        <f t="shared" si="5"/>
        <v>0.39328395196448546</v>
      </c>
    </row>
    <row r="134" spans="1:7" ht="15.5" x14ac:dyDescent="0.35">
      <c r="A134" s="4">
        <v>133</v>
      </c>
      <c r="B134" s="17" t="s">
        <v>45</v>
      </c>
      <c r="C134" s="17" t="s">
        <v>235</v>
      </c>
      <c r="D134" s="4">
        <v>2021</v>
      </c>
      <c r="E134" s="7">
        <v>14838879000000</v>
      </c>
      <c r="F134" s="7">
        <v>23725885000000</v>
      </c>
      <c r="G134" s="9">
        <f t="shared" si="5"/>
        <v>0.62542994708100452</v>
      </c>
    </row>
    <row r="135" spans="1:7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7">
        <v>2793055857000</v>
      </c>
      <c r="F135" s="7">
        <v>4652817906000</v>
      </c>
      <c r="G135" s="9">
        <f t="shared" si="5"/>
        <v>0.60029339497645928</v>
      </c>
    </row>
    <row r="136" spans="1:7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7">
        <v>3824141372207</v>
      </c>
      <c r="F136" s="7">
        <v>5936609239750</v>
      </c>
      <c r="G136" s="9">
        <f t="shared" si="5"/>
        <v>0.6441625543755749</v>
      </c>
    </row>
    <row r="137" spans="1:7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7">
        <v>598914685000</v>
      </c>
      <c r="F137" s="7">
        <v>954657152000</v>
      </c>
      <c r="G137" s="9">
        <f t="shared" si="5"/>
        <v>0.62736102038860542</v>
      </c>
    </row>
    <row r="138" spans="1:7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7">
        <v>461044434000</v>
      </c>
      <c r="F138" s="7">
        <v>822740369000</v>
      </c>
      <c r="G138" s="9">
        <f t="shared" si="5"/>
        <v>0.56037657974699429</v>
      </c>
    </row>
    <row r="139" spans="1:7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7">
        <v>1019773758000000</v>
      </c>
      <c r="F139" s="7">
        <v>1228344680000000</v>
      </c>
      <c r="G139" s="9">
        <f t="shared" ref="G139:G164" si="6">E139/F139</f>
        <v>0.83020163200446306</v>
      </c>
    </row>
    <row r="140" spans="1:7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7">
        <v>2339047000000</v>
      </c>
      <c r="F140" s="7">
        <v>3582868000000</v>
      </c>
      <c r="G140" s="9">
        <f t="shared" si="6"/>
        <v>0.65284208070182881</v>
      </c>
    </row>
    <row r="141" spans="1:7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7">
        <v>11693332176560</v>
      </c>
      <c r="F141" s="7">
        <v>15983152301240</v>
      </c>
      <c r="G141" s="9">
        <f t="shared" si="6"/>
        <v>0.73160362587878314</v>
      </c>
    </row>
    <row r="142" spans="1:7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7">
        <v>838317715000000</v>
      </c>
      <c r="F142" s="7">
        <v>964837692000000</v>
      </c>
      <c r="G142" s="9">
        <f t="shared" si="6"/>
        <v>0.86886916001619052</v>
      </c>
    </row>
    <row r="143" spans="1:7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7">
        <v>1386310930000000</v>
      </c>
      <c r="F143" s="7">
        <v>1678097734000000</v>
      </c>
      <c r="G143" s="9">
        <f t="shared" si="6"/>
        <v>0.82612049460046522</v>
      </c>
    </row>
    <row r="144" spans="1:7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7">
        <v>327693592000000</v>
      </c>
      <c r="F144" s="7">
        <v>371868311000000</v>
      </c>
      <c r="G144" s="9">
        <f t="shared" si="6"/>
        <v>0.88120870293785269</v>
      </c>
    </row>
    <row r="145" spans="1:7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7">
        <v>15646157000000</v>
      </c>
      <c r="F145" s="7">
        <v>21653968000000</v>
      </c>
      <c r="G145" s="9">
        <f t="shared" si="6"/>
        <v>0.72255380630469201</v>
      </c>
    </row>
    <row r="146" spans="1:7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7">
        <v>147156640000000</v>
      </c>
      <c r="F146" s="7">
        <v>192239698000000</v>
      </c>
      <c r="G146" s="9">
        <f t="shared" si="6"/>
        <v>0.76548518090160544</v>
      </c>
    </row>
    <row r="147" spans="1:7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7">
        <v>8205513000000</v>
      </c>
      <c r="F147" s="7">
        <v>15635739000000</v>
      </c>
      <c r="G147" s="9">
        <f t="shared" si="6"/>
        <v>0.52479214445828237</v>
      </c>
    </row>
    <row r="148" spans="1:7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7">
        <v>6427061000000</v>
      </c>
      <c r="F148" s="7">
        <v>8575950000000</v>
      </c>
      <c r="G148" s="9">
        <f t="shared" si="6"/>
        <v>0.74942845982077788</v>
      </c>
    </row>
    <row r="149" spans="1:7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7">
        <v>12682175000000</v>
      </c>
      <c r="F149" s="7">
        <v>15055850000000</v>
      </c>
      <c r="G149" s="9">
        <f t="shared" si="6"/>
        <v>0.84234201323737945</v>
      </c>
    </row>
    <row r="150" spans="1:7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7">
        <v>137955374000000</v>
      </c>
      <c r="F150" s="7">
        <v>158356097000000</v>
      </c>
      <c r="G150" s="9">
        <f t="shared" si="6"/>
        <v>0.87117185011196629</v>
      </c>
    </row>
    <row r="151" spans="1:7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7">
        <v>12903147645000</v>
      </c>
      <c r="F151" s="7">
        <v>14234358584000</v>
      </c>
      <c r="G151" s="9">
        <f t="shared" si="6"/>
        <v>0.9064790358382333</v>
      </c>
    </row>
    <row r="152" spans="1:7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7">
        <v>1326592237000000</v>
      </c>
      <c r="F152" s="7">
        <v>1725611128000000</v>
      </c>
      <c r="G152" s="9">
        <f t="shared" si="6"/>
        <v>0.76876662156063702</v>
      </c>
    </row>
    <row r="153" spans="1:7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7">
        <v>6432760566695</v>
      </c>
      <c r="F153" s="7">
        <v>8666525828600</v>
      </c>
      <c r="G153" s="9">
        <f t="shared" si="6"/>
        <v>0.74225366587687824</v>
      </c>
    </row>
    <row r="154" spans="1:7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7">
        <v>267398602000000</v>
      </c>
      <c r="F154" s="7">
        <v>310786960000000</v>
      </c>
      <c r="G154" s="9">
        <f t="shared" si="6"/>
        <v>0.86039196110415961</v>
      </c>
    </row>
    <row r="155" spans="1:7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7">
        <v>140033353000000</v>
      </c>
      <c r="F155" s="7">
        <v>168758476000000</v>
      </c>
      <c r="G155" s="9">
        <f t="shared" si="6"/>
        <v>0.82978559844306721</v>
      </c>
    </row>
    <row r="156" spans="1:7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7">
        <v>197765327000000</v>
      </c>
      <c r="F156" s="7">
        <v>234379042000000</v>
      </c>
      <c r="G156" s="9">
        <f t="shared" si="6"/>
        <v>0.84378417674392581</v>
      </c>
    </row>
    <row r="157" spans="1:7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7">
        <v>377313272913</v>
      </c>
      <c r="F157" s="7">
        <v>1297609119758</v>
      </c>
      <c r="G157" s="9">
        <f t="shared" si="6"/>
        <v>0.29077575609469186</v>
      </c>
    </row>
    <row r="158" spans="1:7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7">
        <v>1544782520353</v>
      </c>
      <c r="F158" s="7">
        <v>2964069016813</v>
      </c>
      <c r="G158" s="9">
        <f t="shared" si="6"/>
        <v>0.52116955158283307</v>
      </c>
    </row>
    <row r="159" spans="1:7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7">
        <v>146932964000000</v>
      </c>
      <c r="F159" s="7">
        <v>191917794000000</v>
      </c>
      <c r="G159" s="9">
        <f t="shared" si="6"/>
        <v>0.76560365215535986</v>
      </c>
    </row>
    <row r="160" spans="1:7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7">
        <v>6825270000000</v>
      </c>
      <c r="F160" s="7">
        <v>18046214000000</v>
      </c>
      <c r="G160" s="9">
        <f t="shared" si="6"/>
        <v>0.37821063188101395</v>
      </c>
    </row>
    <row r="161" spans="1:7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7">
        <v>2953836000000</v>
      </c>
      <c r="F161" s="7">
        <v>5543310000000</v>
      </c>
      <c r="G161" s="9">
        <f t="shared" si="6"/>
        <v>0.53286502107946332</v>
      </c>
    </row>
    <row r="162" spans="1:7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7">
        <v>20113344000000</v>
      </c>
      <c r="F162" s="7">
        <v>26194548000000</v>
      </c>
      <c r="G162" s="9">
        <f t="shared" si="6"/>
        <v>0.76784466752394431</v>
      </c>
    </row>
    <row r="163" spans="1:7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7">
        <v>113734926000000</v>
      </c>
      <c r="F163" s="7">
        <v>132879390000000</v>
      </c>
      <c r="G163" s="9">
        <f t="shared" si="6"/>
        <v>0.85592600929308904</v>
      </c>
    </row>
    <row r="164" spans="1:7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7">
        <v>2582347000000</v>
      </c>
      <c r="F164" s="7">
        <v>5345296000000</v>
      </c>
      <c r="G164" s="9">
        <f t="shared" si="6"/>
        <v>0.48310645472205843</v>
      </c>
    </row>
    <row r="165" spans="1:7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7">
        <v>598640549214</v>
      </c>
      <c r="F165" s="7">
        <v>2054791094477</v>
      </c>
      <c r="G165" s="9">
        <f t="shared" ref="G165:G168" si="7">E165/F165</f>
        <v>0.29133888638269101</v>
      </c>
    </row>
    <row r="166" spans="1:7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7">
        <v>155914795000000</v>
      </c>
      <c r="F166" s="7">
        <v>204462542000000</v>
      </c>
      <c r="G166" s="9">
        <f t="shared" si="7"/>
        <v>0.76255921243510705</v>
      </c>
    </row>
    <row r="167" spans="1:7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7">
        <v>4424707000000</v>
      </c>
      <c r="F167" s="7">
        <v>35275479000000</v>
      </c>
      <c r="G167" s="9">
        <f t="shared" si="7"/>
        <v>0.12543293884117065</v>
      </c>
    </row>
    <row r="168" spans="1:7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7">
        <v>4377908000000</v>
      </c>
      <c r="F168" s="7">
        <v>33192581000000</v>
      </c>
      <c r="G168" s="9">
        <f t="shared" si="7"/>
        <v>0.1318941723754474</v>
      </c>
    </row>
    <row r="169" spans="1:7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7">
        <v>34544380000000</v>
      </c>
      <c r="F169" s="7">
        <v>43801571000000</v>
      </c>
      <c r="G169" s="9">
        <f t="shared" ref="G169:G200" si="8">E169/F169</f>
        <v>0.78865618769701207</v>
      </c>
    </row>
    <row r="170" spans="1:7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7">
        <v>5136745000000</v>
      </c>
      <c r="F170" s="7">
        <v>61151527000000</v>
      </c>
      <c r="G170" s="9">
        <f t="shared" si="8"/>
        <v>8.4000273615407836E-2</v>
      </c>
    </row>
    <row r="171" spans="1:7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7">
        <v>942670369000</v>
      </c>
      <c r="F171" s="7">
        <v>1819841840000</v>
      </c>
      <c r="G171" s="9">
        <f t="shared" si="8"/>
        <v>0.51799576659914581</v>
      </c>
    </row>
    <row r="172" spans="1:7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7">
        <v>24088177933</v>
      </c>
      <c r="F172" s="7">
        <v>350941420850</v>
      </c>
      <c r="G172" s="9">
        <f t="shared" si="8"/>
        <v>6.8638742826814425E-2</v>
      </c>
    </row>
    <row r="173" spans="1:7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7">
        <v>3817437000000</v>
      </c>
      <c r="F173" s="7">
        <v>5151084000000</v>
      </c>
      <c r="G173" s="9">
        <f t="shared" si="8"/>
        <v>0.7410939134364728</v>
      </c>
    </row>
    <row r="174" spans="1:7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7">
        <v>26806260000000</v>
      </c>
      <c r="F174" s="7">
        <v>38129561000000</v>
      </c>
      <c r="G174" s="9">
        <f t="shared" si="8"/>
        <v>0.70303091084631164</v>
      </c>
    </row>
    <row r="175" spans="1:7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7">
        <v>61886476000000</v>
      </c>
      <c r="F175" s="7">
        <v>265289081000000</v>
      </c>
      <c r="G175" s="9">
        <f t="shared" si="8"/>
        <v>0.23327939380965326</v>
      </c>
    </row>
    <row r="176" spans="1:7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7">
        <v>2543053000000</v>
      </c>
      <c r="F176" s="7">
        <v>18543856000000</v>
      </c>
      <c r="G176" s="9">
        <f t="shared" si="8"/>
        <v>0.13713722755396721</v>
      </c>
    </row>
    <row r="177" spans="1:7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7">
        <v>11398324596000</v>
      </c>
      <c r="F177" s="7">
        <v>20188056012000</v>
      </c>
      <c r="G177" s="9">
        <f t="shared" si="8"/>
        <v>0.56460733956873865</v>
      </c>
    </row>
    <row r="178" spans="1:7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7">
        <v>80948000000</v>
      </c>
      <c r="F178" s="7">
        <v>393128000000</v>
      </c>
      <c r="G178" s="9">
        <f t="shared" si="8"/>
        <v>0.20590749069005515</v>
      </c>
    </row>
    <row r="179" spans="1:7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7">
        <v>406558558387</v>
      </c>
      <c r="F179" s="7">
        <v>2476075485358</v>
      </c>
      <c r="G179" s="9">
        <f t="shared" si="8"/>
        <v>0.16419473509234242</v>
      </c>
    </row>
    <row r="180" spans="1:7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7">
        <v>196357274613</v>
      </c>
      <c r="F180" s="7">
        <v>736066661447</v>
      </c>
      <c r="G180" s="9">
        <f t="shared" si="8"/>
        <v>0.26676561362932827</v>
      </c>
    </row>
    <row r="181" spans="1:7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7">
        <v>94727715000000</v>
      </c>
      <c r="F181" s="7">
        <v>117509999000000</v>
      </c>
      <c r="G181" s="9">
        <f t="shared" si="8"/>
        <v>0.80612471965045285</v>
      </c>
    </row>
    <row r="182" spans="1:7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7">
        <v>2068066845</v>
      </c>
      <c r="F182" s="7">
        <v>508447134690</v>
      </c>
      <c r="G182" s="9">
        <f t="shared" si="8"/>
        <v>4.0674176406970989E-3</v>
      </c>
    </row>
    <row r="183" spans="1:7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7">
        <v>363487524000</v>
      </c>
      <c r="F183" s="7">
        <v>1396548426000</v>
      </c>
      <c r="G183" s="9">
        <f t="shared" si="8"/>
        <v>0.26027563185982927</v>
      </c>
    </row>
    <row r="184" spans="1:7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7">
        <v>20502065652524</v>
      </c>
      <c r="F184" s="7">
        <v>23203123481350</v>
      </c>
      <c r="G184" s="9">
        <f t="shared" si="8"/>
        <v>0.88359076608815046</v>
      </c>
    </row>
    <row r="185" spans="1:7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7">
        <v>862113850198</v>
      </c>
      <c r="F185" s="7">
        <v>1411160148272</v>
      </c>
      <c r="G185" s="9">
        <f t="shared" si="8"/>
        <v>0.61092559285611869</v>
      </c>
    </row>
    <row r="186" spans="1:7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7">
        <v>11649903000000</v>
      </c>
      <c r="F186" s="7">
        <v>14015360000000</v>
      </c>
      <c r="G186" s="9">
        <f t="shared" si="8"/>
        <v>0.83122395714416186</v>
      </c>
    </row>
    <row r="187" spans="1:7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7">
        <v>20203112000000</v>
      </c>
      <c r="F187" s="7">
        <v>22325883000000</v>
      </c>
      <c r="G187" s="9">
        <f t="shared" si="8"/>
        <v>0.90491883344546775</v>
      </c>
    </row>
    <row r="188" spans="1:7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7">
        <v>89715529000000</v>
      </c>
      <c r="F188" s="7">
        <v>103031367000000</v>
      </c>
      <c r="G188" s="9">
        <f t="shared" si="8"/>
        <v>0.87075937757867461</v>
      </c>
    </row>
    <row r="189" spans="1:7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7">
        <v>2938173032000</v>
      </c>
      <c r="F189" s="7">
        <v>8049255816000</v>
      </c>
      <c r="G189" s="9">
        <f t="shared" si="8"/>
        <v>0.3650241834977605</v>
      </c>
    </row>
    <row r="190" spans="1:7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7">
        <v>3593551000000</v>
      </c>
      <c r="F190" s="7">
        <v>4655875000000</v>
      </c>
      <c r="G190" s="9">
        <f t="shared" si="8"/>
        <v>0.77183150320831206</v>
      </c>
    </row>
    <row r="191" spans="1:7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7">
        <v>5447275670</v>
      </c>
      <c r="F191" s="7">
        <v>162856818189</v>
      </c>
      <c r="G191" s="9">
        <f t="shared" si="8"/>
        <v>3.3448250620236736E-2</v>
      </c>
    </row>
    <row r="192" spans="1:7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7">
        <v>2200516017855</v>
      </c>
      <c r="F192" s="7">
        <v>2930664711078</v>
      </c>
      <c r="G192" s="9">
        <f t="shared" si="8"/>
        <v>0.75085901486341433</v>
      </c>
    </row>
    <row r="193" spans="1:7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7">
        <v>204287525000000</v>
      </c>
      <c r="F193" s="7">
        <v>238498560000000</v>
      </c>
      <c r="G193" s="9">
        <f t="shared" si="8"/>
        <v>0.85655663916796809</v>
      </c>
    </row>
    <row r="194" spans="1:7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7">
        <v>20243766000000</v>
      </c>
      <c r="F194" s="7">
        <v>22116366000000</v>
      </c>
      <c r="G194" s="9">
        <f t="shared" si="8"/>
        <v>0.91532967034457646</v>
      </c>
    </row>
    <row r="195" spans="1:7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7">
        <v>966617847000</v>
      </c>
      <c r="F195" s="7">
        <v>2472105924000</v>
      </c>
      <c r="G195" s="9">
        <f t="shared" si="8"/>
        <v>0.3910098825522656</v>
      </c>
    </row>
    <row r="196" spans="1:7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7">
        <v>14684819000000</v>
      </c>
      <c r="F196" s="7">
        <v>24897205000000</v>
      </c>
      <c r="G196" s="9">
        <f t="shared" si="8"/>
        <v>0.58981797354361665</v>
      </c>
    </row>
    <row r="197" spans="1:7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7">
        <v>3005509450000</v>
      </c>
      <c r="F197" s="7">
        <v>4705846343000</v>
      </c>
      <c r="G197" s="9">
        <f t="shared" si="8"/>
        <v>0.63867564534288912</v>
      </c>
    </row>
    <row r="198" spans="1:7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7">
        <v>4588594576633</v>
      </c>
      <c r="F198" s="7">
        <v>6857140243488</v>
      </c>
      <c r="G198" s="9">
        <f t="shared" si="8"/>
        <v>0.66917029748525814</v>
      </c>
    </row>
    <row r="199" spans="1:7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7">
        <v>620559335000</v>
      </c>
      <c r="F199" s="7">
        <v>989810930000</v>
      </c>
      <c r="G199" s="9">
        <f t="shared" si="8"/>
        <v>0.62694734538847741</v>
      </c>
    </row>
    <row r="200" spans="1:7" ht="15.5" x14ac:dyDescent="0.35">
      <c r="A200" s="4">
        <v>199</v>
      </c>
      <c r="B200" s="17" t="s">
        <v>60</v>
      </c>
      <c r="C200" s="17" t="s">
        <v>61</v>
      </c>
      <c r="D200" s="4">
        <v>2022</v>
      </c>
      <c r="E200" s="7">
        <v>523847643000</v>
      </c>
      <c r="F200" s="7">
        <v>888973513000</v>
      </c>
      <c r="G200" s="9">
        <f t="shared" si="8"/>
        <v>0.58927249838095008</v>
      </c>
    </row>
    <row r="201" spans="1:7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7">
        <v>1087109644000000</v>
      </c>
      <c r="F201" s="7">
        <v>1314731674000000</v>
      </c>
      <c r="G201" s="9">
        <f t="shared" ref="G201:G232" si="9">E201/F201</f>
        <v>0.82686807163664633</v>
      </c>
    </row>
    <row r="202" spans="1:7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7">
        <v>3314209000000</v>
      </c>
      <c r="F202" s="7">
        <v>4630150000000</v>
      </c>
      <c r="G202" s="9">
        <f t="shared" si="9"/>
        <v>0.7157886893513169</v>
      </c>
    </row>
    <row r="203" spans="1:7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7">
        <v>12031692974122</v>
      </c>
      <c r="F203" s="7">
        <v>16583990927531</v>
      </c>
      <c r="G203" s="9">
        <f t="shared" si="9"/>
        <v>0.72550045563207866</v>
      </c>
    </row>
    <row r="204" spans="1:7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7">
        <v>889639206000000</v>
      </c>
      <c r="F204" s="7">
        <v>1029838868000000</v>
      </c>
      <c r="G204" s="9">
        <f t="shared" si="9"/>
        <v>0.86386252611316283</v>
      </c>
    </row>
    <row r="205" spans="1:7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7">
        <v>1562243693000000</v>
      </c>
      <c r="F205" s="7">
        <v>1865639010000000</v>
      </c>
      <c r="G205" s="9">
        <f t="shared" si="9"/>
        <v>0.83737726571229876</v>
      </c>
    </row>
    <row r="206" spans="1:7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7">
        <v>351376683000000</v>
      </c>
      <c r="F206" s="7">
        <v>402148312000000</v>
      </c>
      <c r="G206" s="9">
        <f t="shared" si="9"/>
        <v>0.87374899387865634</v>
      </c>
    </row>
    <row r="207" spans="1:7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7">
        <v>18105414000000</v>
      </c>
      <c r="F207" s="7">
        <v>24306227000000</v>
      </c>
      <c r="G207" s="9">
        <f t="shared" si="9"/>
        <v>0.74488788408007545</v>
      </c>
    </row>
    <row r="208" spans="1:7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7">
        <v>150251206000000</v>
      </c>
      <c r="F208" s="7">
        <v>197729688000000</v>
      </c>
      <c r="G208" s="9">
        <f t="shared" si="9"/>
        <v>0.75988187469349566</v>
      </c>
    </row>
    <row r="209" spans="1:7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7">
        <v>13137725000000</v>
      </c>
      <c r="F209" s="7">
        <v>21929634000000</v>
      </c>
      <c r="G209" s="9">
        <f t="shared" si="9"/>
        <v>0.59908546581306377</v>
      </c>
    </row>
    <row r="210" spans="1:7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7">
        <v>5829370000000</v>
      </c>
      <c r="F210" s="7">
        <v>8968132000000</v>
      </c>
      <c r="G210" s="9">
        <f t="shared" si="9"/>
        <v>0.65000938880025405</v>
      </c>
    </row>
    <row r="211" spans="1:7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7">
        <v>17264648000000</v>
      </c>
      <c r="F211" s="7">
        <v>20522736000000</v>
      </c>
      <c r="G211" s="9">
        <f t="shared" si="9"/>
        <v>0.84124494901654434</v>
      </c>
    </row>
    <row r="212" spans="1:7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7">
        <v>158120881000000</v>
      </c>
      <c r="F212" s="7">
        <v>181241291000000</v>
      </c>
      <c r="G212" s="9">
        <f t="shared" si="9"/>
        <v>0.87243298769042643</v>
      </c>
    </row>
    <row r="213" spans="1:7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7">
        <v>11803688126000</v>
      </c>
      <c r="F213" s="7">
        <v>14956302274000</v>
      </c>
      <c r="G213" s="9">
        <f t="shared" si="9"/>
        <v>0.78921165872125376</v>
      </c>
    </row>
    <row r="214" spans="1:7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7">
        <v>1544096631000000</v>
      </c>
      <c r="F214" s="7">
        <v>1992544687000000</v>
      </c>
      <c r="G214" s="9">
        <f t="shared" si="9"/>
        <v>0.7749370144991885</v>
      </c>
    </row>
    <row r="215" spans="1:7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7">
        <v>5134517792869</v>
      </c>
      <c r="F215" s="7">
        <v>8211291790399</v>
      </c>
      <c r="G215" s="9">
        <f t="shared" si="9"/>
        <v>0.62529963907414687</v>
      </c>
    </row>
    <row r="216" spans="1:7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7">
        <v>261478036000000</v>
      </c>
      <c r="F216" s="7">
        <v>306754299000000</v>
      </c>
      <c r="G216" s="9">
        <f t="shared" si="9"/>
        <v>0.85240218915399779</v>
      </c>
    </row>
    <row r="217" spans="1:7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7">
        <v>131279968000000</v>
      </c>
      <c r="F217" s="7">
        <v>160813918000000</v>
      </c>
      <c r="G217" s="9">
        <f t="shared" si="9"/>
        <v>0.81634705274701413</v>
      </c>
    </row>
    <row r="218" spans="1:7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7">
        <v>217495182000000</v>
      </c>
      <c r="F218" s="7">
        <v>255112471000000</v>
      </c>
      <c r="G218" s="9">
        <f t="shared" si="9"/>
        <v>0.85254625596096401</v>
      </c>
    </row>
    <row r="219" spans="1:7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7">
        <v>335938183508</v>
      </c>
      <c r="F219" s="7">
        <v>1316472328512</v>
      </c>
      <c r="G219" s="9">
        <f t="shared" si="9"/>
        <v>0.2551805884805104</v>
      </c>
    </row>
    <row r="220" spans="1:7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7">
        <v>1807058276810</v>
      </c>
      <c r="F220" s="7">
        <v>3278744462524</v>
      </c>
      <c r="G220" s="9">
        <f t="shared" si="9"/>
        <v>0.55114337133151092</v>
      </c>
    </row>
    <row r="221" spans="1:7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7">
        <v>159913419000000</v>
      </c>
      <c r="F221" s="7">
        <v>209169704000000</v>
      </c>
      <c r="G221" s="9">
        <f t="shared" si="9"/>
        <v>0.76451520436248266</v>
      </c>
    </row>
    <row r="222" spans="1:7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7">
        <v>6590854000000</v>
      </c>
      <c r="F222" s="7">
        <v>18918152000000</v>
      </c>
      <c r="G222" s="9">
        <f t="shared" si="9"/>
        <v>0.34838783407597107</v>
      </c>
    </row>
    <row r="223" spans="1:7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7">
        <v>3051778000000</v>
      </c>
      <c r="F223" s="7">
        <v>5636441000000</v>
      </c>
      <c r="G223" s="9">
        <f t="shared" si="9"/>
        <v>0.54143705221078331</v>
      </c>
    </row>
    <row r="224" spans="1:7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7">
        <v>18823716000000</v>
      </c>
      <c r="F224" s="7">
        <v>25022953000000</v>
      </c>
      <c r="G224" s="9">
        <f t="shared" si="9"/>
        <v>0.75225797690624285</v>
      </c>
    </row>
    <row r="225" spans="1:7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7">
        <v>147667703000000</v>
      </c>
      <c r="F225" s="7">
        <v>180338966000000</v>
      </c>
      <c r="G225" s="9">
        <f t="shared" si="9"/>
        <v>0.81883414480706296</v>
      </c>
    </row>
    <row r="226" spans="1:7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7">
        <v>3332433000000</v>
      </c>
      <c r="F226" s="7">
        <v>6568387000000</v>
      </c>
      <c r="G226" s="9">
        <f t="shared" si="9"/>
        <v>0.50734419272189657</v>
      </c>
    </row>
    <row r="227" spans="1:7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7">
        <v>501706622757</v>
      </c>
      <c r="F227" s="7">
        <v>2102240427904</v>
      </c>
      <c r="G227" s="9">
        <f t="shared" si="9"/>
        <v>0.23865330344598945</v>
      </c>
    </row>
    <row r="228" spans="1:7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7">
        <v>4136592000000</v>
      </c>
      <c r="F228" s="7">
        <v>33868608000000</v>
      </c>
      <c r="G228" s="9">
        <f t="shared" si="9"/>
        <v>0.12213646335863582</v>
      </c>
    </row>
    <row r="229" spans="1:7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7">
        <v>4138794000000</v>
      </c>
      <c r="F229" s="7">
        <v>35694847000000</v>
      </c>
      <c r="G229" s="9">
        <f t="shared" si="9"/>
        <v>0.11594934137131895</v>
      </c>
    </row>
    <row r="230" spans="1:7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7">
        <v>4136592000000</v>
      </c>
      <c r="F230" s="7">
        <v>33868608000000</v>
      </c>
      <c r="G230" s="9">
        <f t="shared" si="9"/>
        <v>0.12213646335863582</v>
      </c>
    </row>
    <row r="231" spans="1:7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7">
        <v>41568671000000</v>
      </c>
      <c r="F231" s="7">
        <v>51499424000000</v>
      </c>
      <c r="G231" s="9">
        <f t="shared" si="9"/>
        <v>0.80716768793375238</v>
      </c>
    </row>
    <row r="232" spans="1:7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7">
        <v>3954713000000</v>
      </c>
      <c r="F232" s="7">
        <v>63771150000000</v>
      </c>
      <c r="G232" s="9">
        <f t="shared" si="9"/>
        <v>6.2014139622697723E-2</v>
      </c>
    </row>
    <row r="233" spans="1:7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7">
        <v>1054059625000</v>
      </c>
      <c r="F233" s="7">
        <v>2109833544000</v>
      </c>
      <c r="G233" s="9">
        <f t="shared" ref="G233:G249" si="10">E233/F233</f>
        <v>0.49959373714460198</v>
      </c>
    </row>
    <row r="234" spans="1:7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7">
        <v>23616000000</v>
      </c>
      <c r="F234" s="7">
        <v>374678000000</v>
      </c>
      <c r="G234" s="9">
        <f t="shared" si="10"/>
        <v>6.3030121864641103E-2</v>
      </c>
    </row>
    <row r="235" spans="1:7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7">
        <v>4131194000000</v>
      </c>
      <c r="F235" s="7">
        <v>5646226000000</v>
      </c>
      <c r="G235" s="9">
        <f t="shared" si="10"/>
        <v>0.7316735107663066</v>
      </c>
    </row>
    <row r="236" spans="1:7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7">
        <v>22699190000000</v>
      </c>
      <c r="F236" s="7">
        <v>34937618000000</v>
      </c>
      <c r="G236" s="9">
        <f t="shared" si="10"/>
        <v>0.64970628507072237</v>
      </c>
    </row>
    <row r="237" spans="1:7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7">
        <v>73655791000000</v>
      </c>
      <c r="F237" s="7">
        <v>305727438000000</v>
      </c>
      <c r="G237" s="9">
        <f t="shared" si="10"/>
        <v>0.24091979274689765</v>
      </c>
    </row>
    <row r="238" spans="1:7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7">
        <v>2910720000000</v>
      </c>
      <c r="F238" s="7">
        <v>21161976000000</v>
      </c>
      <c r="G238" s="9">
        <f t="shared" si="10"/>
        <v>0.137544811505315</v>
      </c>
    </row>
    <row r="239" spans="1:7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7">
        <v>12409207168000</v>
      </c>
      <c r="F239" s="7">
        <v>21581305468000</v>
      </c>
      <c r="G239" s="9">
        <f t="shared" si="10"/>
        <v>0.57499798547404535</v>
      </c>
    </row>
    <row r="240" spans="1:7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7">
        <v>83581000000</v>
      </c>
      <c r="F240" s="7">
        <v>393081000000</v>
      </c>
      <c r="G240" s="9">
        <f t="shared" si="10"/>
        <v>0.21263047565260088</v>
      </c>
    </row>
    <row r="241" spans="1:7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7">
        <v>248248586432</v>
      </c>
      <c r="F241" s="7">
        <v>3313589745696</v>
      </c>
      <c r="G241" s="9">
        <f t="shared" si="10"/>
        <v>7.4918322871577112E-2</v>
      </c>
    </row>
    <row r="242" spans="1:7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7">
        <v>497542929476</v>
      </c>
      <c r="F242" s="7">
        <v>1038909850191</v>
      </c>
      <c r="G242" s="9">
        <f t="shared" si="10"/>
        <v>0.47890866506321839</v>
      </c>
    </row>
    <row r="243" spans="1:7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7">
        <v>90731743000000</v>
      </c>
      <c r="F243" s="7">
        <v>114406803000000</v>
      </c>
      <c r="G243" s="9">
        <f t="shared" si="10"/>
        <v>0.7930624807337725</v>
      </c>
    </row>
    <row r="244" spans="1:7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7">
        <v>1263425284</v>
      </c>
      <c r="F244" s="7">
        <v>509387241941</v>
      </c>
      <c r="G244" s="9">
        <f t="shared" si="10"/>
        <v>2.4802845065097583E-3</v>
      </c>
    </row>
    <row r="245" spans="1:7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7">
        <v>511314538000</v>
      </c>
      <c r="F245" s="7">
        <v>1601438462000</v>
      </c>
      <c r="G245" s="9">
        <f t="shared" si="10"/>
        <v>0.31928453707889026</v>
      </c>
    </row>
    <row r="246" spans="1:7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7">
        <v>17853215580512</v>
      </c>
      <c r="F246" s="7">
        <v>21271327194429</v>
      </c>
      <c r="G246" s="9">
        <f t="shared" si="10"/>
        <v>0.83930896353227036</v>
      </c>
    </row>
    <row r="247" spans="1:7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7">
        <v>1013123874462</v>
      </c>
      <c r="F247" s="7">
        <v>1627241657686</v>
      </c>
      <c r="G247" s="9">
        <f t="shared" si="10"/>
        <v>0.62260197781729665</v>
      </c>
    </row>
    <row r="248" spans="1:7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7">
        <v>14150029000000</v>
      </c>
      <c r="F248" s="7">
        <v>16862363000000</v>
      </c>
      <c r="G248" s="9">
        <f t="shared" si="10"/>
        <v>0.83914864126694466</v>
      </c>
    </row>
    <row r="249" spans="1:7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7">
        <v>17340964000000</v>
      </c>
      <c r="F249" s="7">
        <v>20628501000000</v>
      </c>
      <c r="G249" s="9">
        <f t="shared" si="10"/>
        <v>0.84063131877590136</v>
      </c>
    </row>
    <row r="250" spans="1:7" x14ac:dyDescent="0.35">
      <c r="A250" s="4">
        <v>249</v>
      </c>
    </row>
    <row r="251" spans="1:7" x14ac:dyDescent="0.35">
      <c r="A251" s="4">
        <v>250</v>
      </c>
    </row>
    <row r="252" spans="1:7" x14ac:dyDescent="0.35">
      <c r="A252" s="4">
        <v>251</v>
      </c>
    </row>
    <row r="253" spans="1:7" x14ac:dyDescent="0.35">
      <c r="A253" s="4">
        <v>252</v>
      </c>
    </row>
    <row r="258" spans="2:7" ht="15.5" x14ac:dyDescent="0.35">
      <c r="B258" s="52"/>
      <c r="C258" s="52"/>
      <c r="D258" s="2"/>
      <c r="E258" s="54"/>
      <c r="F258" s="54"/>
      <c r="G258" s="55"/>
    </row>
    <row r="259" spans="2:7" ht="15.5" x14ac:dyDescent="0.35">
      <c r="B259" s="52"/>
      <c r="C259" s="52"/>
      <c r="D259" s="2"/>
    </row>
    <row r="260" spans="2:7" ht="15.5" x14ac:dyDescent="0.35">
      <c r="B260" s="52"/>
      <c r="C260" s="52"/>
      <c r="D260" s="2"/>
    </row>
    <row r="261" spans="2:7" ht="15.5" x14ac:dyDescent="0.35">
      <c r="B261" s="52"/>
      <c r="C261" s="52"/>
      <c r="D261" s="2"/>
    </row>
    <row r="262" spans="2:7" ht="15.5" x14ac:dyDescent="0.35">
      <c r="B262" s="52"/>
      <c r="C262" s="52"/>
      <c r="D262" s="2"/>
    </row>
    <row r="263" spans="2:7" ht="15.5" x14ac:dyDescent="0.35">
      <c r="B263" s="52"/>
      <c r="C263" s="52"/>
      <c r="D263" s="2"/>
    </row>
    <row r="264" spans="2:7" ht="15.5" x14ac:dyDescent="0.35">
      <c r="B264" s="52"/>
      <c r="C264" s="52"/>
      <c r="D264" s="2"/>
    </row>
    <row r="265" spans="2:7" ht="15.5" x14ac:dyDescent="0.35">
      <c r="B265" s="52"/>
      <c r="C265" s="52"/>
      <c r="D265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6E57-6B44-41E8-AD19-6F711D805567}">
  <dimension ref="A1:E265"/>
  <sheetViews>
    <sheetView workbookViewId="0">
      <selection activeCell="E188" sqref="E188:E249"/>
    </sheetView>
  </sheetViews>
  <sheetFormatPr defaultRowHeight="14.5" x14ac:dyDescent="0.35"/>
  <cols>
    <col min="1" max="1" width="6.453125" customWidth="1"/>
    <col min="2" max="2" width="16.453125" customWidth="1"/>
    <col min="3" max="3" width="38" customWidth="1"/>
    <col min="4" max="4" width="10.453125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6</v>
      </c>
      <c r="E1" s="49" t="s">
        <v>251</v>
      </c>
    </row>
    <row r="2" spans="1:5" ht="15.5" x14ac:dyDescent="0.35">
      <c r="A2" s="4">
        <v>1</v>
      </c>
      <c r="B2" s="17" t="s">
        <v>26</v>
      </c>
      <c r="C2" s="18" t="s">
        <v>239</v>
      </c>
      <c r="D2" s="4">
        <v>2019</v>
      </c>
      <c r="E2" s="1">
        <v>0</v>
      </c>
    </row>
    <row r="3" spans="1:5" ht="15.5" x14ac:dyDescent="0.35">
      <c r="A3" s="4">
        <v>2</v>
      </c>
      <c r="B3" s="17" t="s">
        <v>29</v>
      </c>
      <c r="C3" s="17" t="s">
        <v>30</v>
      </c>
      <c r="D3" s="4">
        <v>2019</v>
      </c>
      <c r="E3" s="1">
        <v>1</v>
      </c>
    </row>
    <row r="4" spans="1:5" ht="15.5" x14ac:dyDescent="0.35">
      <c r="A4" s="4">
        <v>3</v>
      </c>
      <c r="B4" s="17" t="s">
        <v>31</v>
      </c>
      <c r="C4" s="17" t="s">
        <v>32</v>
      </c>
      <c r="D4" s="4">
        <v>2019</v>
      </c>
      <c r="E4" s="1">
        <v>1</v>
      </c>
    </row>
    <row r="5" spans="1:5" ht="15.5" x14ac:dyDescent="0.35">
      <c r="A5" s="4">
        <v>4</v>
      </c>
      <c r="B5" s="17" t="s">
        <v>33</v>
      </c>
      <c r="C5" s="17" t="s">
        <v>34</v>
      </c>
      <c r="D5" s="4">
        <v>2019</v>
      </c>
      <c r="E5" s="1">
        <v>0</v>
      </c>
    </row>
    <row r="6" spans="1:5" ht="15.5" x14ac:dyDescent="0.35">
      <c r="A6" s="4">
        <v>5</v>
      </c>
      <c r="B6" s="17" t="s">
        <v>35</v>
      </c>
      <c r="C6" s="17" t="s">
        <v>36</v>
      </c>
      <c r="D6" s="4">
        <v>2019</v>
      </c>
      <c r="E6" s="1">
        <v>1</v>
      </c>
    </row>
    <row r="7" spans="1:5" ht="15.5" x14ac:dyDescent="0.35">
      <c r="A7" s="4">
        <v>6</v>
      </c>
      <c r="B7" s="17" t="s">
        <v>37</v>
      </c>
      <c r="C7" s="17" t="s">
        <v>38</v>
      </c>
      <c r="D7" s="4">
        <v>2019</v>
      </c>
      <c r="E7" s="1">
        <v>1</v>
      </c>
    </row>
    <row r="8" spans="1:5" ht="15.5" x14ac:dyDescent="0.35">
      <c r="A8" s="4">
        <v>7</v>
      </c>
      <c r="B8" s="17" t="s">
        <v>39</v>
      </c>
      <c r="C8" s="17" t="s">
        <v>40</v>
      </c>
      <c r="D8" s="4">
        <v>2019</v>
      </c>
      <c r="E8" s="1">
        <v>0</v>
      </c>
    </row>
    <row r="9" spans="1:5" ht="15.5" x14ac:dyDescent="0.35">
      <c r="A9" s="4">
        <v>8</v>
      </c>
      <c r="B9" s="17" t="s">
        <v>43</v>
      </c>
      <c r="C9" s="17" t="s">
        <v>44</v>
      </c>
      <c r="D9" s="4">
        <v>2019</v>
      </c>
      <c r="E9" s="1">
        <v>0</v>
      </c>
    </row>
    <row r="10" spans="1:5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1">
        <v>1</v>
      </c>
    </row>
    <row r="11" spans="1:5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1">
        <v>0</v>
      </c>
    </row>
    <row r="12" spans="1:5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1">
        <v>0</v>
      </c>
    </row>
    <row r="13" spans="1:5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1">
        <v>0</v>
      </c>
    </row>
    <row r="14" spans="1:5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1">
        <v>1</v>
      </c>
    </row>
    <row r="15" spans="1:5" ht="15.5" x14ac:dyDescent="0.35">
      <c r="A15" s="4">
        <v>14</v>
      </c>
      <c r="B15" s="17" t="s">
        <v>66</v>
      </c>
      <c r="C15" s="17" t="s">
        <v>67</v>
      </c>
      <c r="D15" s="4">
        <v>2019</v>
      </c>
      <c r="E15" s="1">
        <v>1</v>
      </c>
    </row>
    <row r="16" spans="1:5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1">
        <v>1</v>
      </c>
    </row>
    <row r="17" spans="1:5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1">
        <v>0</v>
      </c>
    </row>
    <row r="18" spans="1:5" ht="15.5" x14ac:dyDescent="0.35">
      <c r="A18" s="4">
        <v>17</v>
      </c>
      <c r="B18" s="17" t="s">
        <v>76</v>
      </c>
      <c r="C18" s="17" t="s">
        <v>77</v>
      </c>
      <c r="D18" s="4">
        <v>2019</v>
      </c>
      <c r="E18" s="1">
        <v>1</v>
      </c>
    </row>
    <row r="19" spans="1:5" ht="15.5" x14ac:dyDescent="0.35">
      <c r="A19" s="4">
        <v>18</v>
      </c>
      <c r="B19" s="17" t="s">
        <v>78</v>
      </c>
      <c r="C19" s="17" t="s">
        <v>79</v>
      </c>
      <c r="D19" s="4">
        <v>2019</v>
      </c>
      <c r="E19" s="1">
        <v>1</v>
      </c>
    </row>
    <row r="20" spans="1:5" ht="15.5" x14ac:dyDescent="0.35">
      <c r="A20" s="4">
        <v>19</v>
      </c>
      <c r="B20" s="17" t="s">
        <v>80</v>
      </c>
      <c r="C20" s="17" t="s">
        <v>81</v>
      </c>
      <c r="D20" s="4">
        <v>2019</v>
      </c>
      <c r="E20" s="1">
        <v>1</v>
      </c>
    </row>
    <row r="21" spans="1:5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1">
        <v>0</v>
      </c>
    </row>
    <row r="22" spans="1:5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1">
        <v>1</v>
      </c>
    </row>
    <row r="23" spans="1:5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1">
        <v>0</v>
      </c>
    </row>
    <row r="24" spans="1:5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1">
        <v>0</v>
      </c>
    </row>
    <row r="25" spans="1:5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1">
        <v>0</v>
      </c>
    </row>
    <row r="26" spans="1:5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1">
        <v>0</v>
      </c>
    </row>
    <row r="27" spans="1:5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1">
        <v>1</v>
      </c>
    </row>
    <row r="28" spans="1:5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1">
        <v>1</v>
      </c>
    </row>
    <row r="29" spans="1:5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1">
        <v>1</v>
      </c>
    </row>
    <row r="30" spans="1:5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1">
        <v>1</v>
      </c>
    </row>
    <row r="31" spans="1:5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1">
        <v>1</v>
      </c>
    </row>
    <row r="32" spans="1:5" ht="15.5" x14ac:dyDescent="0.35">
      <c r="A32" s="4">
        <v>31</v>
      </c>
      <c r="B32" s="17" t="s">
        <v>110</v>
      </c>
      <c r="C32" s="17" t="s">
        <v>111</v>
      </c>
      <c r="D32" s="4">
        <v>2019</v>
      </c>
      <c r="E32" s="1">
        <v>1</v>
      </c>
    </row>
    <row r="33" spans="1:5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1">
        <v>0</v>
      </c>
    </row>
    <row r="34" spans="1:5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1">
        <v>0</v>
      </c>
    </row>
    <row r="35" spans="1:5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1">
        <v>1</v>
      </c>
    </row>
    <row r="36" spans="1:5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1">
        <v>1</v>
      </c>
    </row>
    <row r="37" spans="1:5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1">
        <v>1</v>
      </c>
    </row>
    <row r="38" spans="1:5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1">
        <v>1</v>
      </c>
    </row>
    <row r="39" spans="1:5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1">
        <v>0</v>
      </c>
    </row>
    <row r="40" spans="1:5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1">
        <v>1</v>
      </c>
    </row>
    <row r="41" spans="1:5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1">
        <v>0</v>
      </c>
    </row>
    <row r="42" spans="1:5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1">
        <v>1</v>
      </c>
    </row>
    <row r="43" spans="1:5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1">
        <v>0</v>
      </c>
    </row>
    <row r="44" spans="1:5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1">
        <v>0</v>
      </c>
    </row>
    <row r="45" spans="1:5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1">
        <v>1</v>
      </c>
    </row>
    <row r="46" spans="1:5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1">
        <v>1</v>
      </c>
    </row>
    <row r="47" spans="1:5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1">
        <v>1</v>
      </c>
    </row>
    <row r="48" spans="1:5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1">
        <v>0</v>
      </c>
    </row>
    <row r="49" spans="1:5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1">
        <v>1</v>
      </c>
    </row>
    <row r="50" spans="1:5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1">
        <v>0</v>
      </c>
    </row>
    <row r="51" spans="1:5" ht="15.5" x14ac:dyDescent="0.35">
      <c r="A51" s="4">
        <v>50</v>
      </c>
      <c r="B51" s="17" t="s">
        <v>190</v>
      </c>
      <c r="C51" s="17" t="s">
        <v>191</v>
      </c>
      <c r="D51" s="4">
        <v>2019</v>
      </c>
      <c r="E51" s="1">
        <v>1</v>
      </c>
    </row>
    <row r="52" spans="1:5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1">
        <v>1</v>
      </c>
    </row>
    <row r="53" spans="1:5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1">
        <v>1</v>
      </c>
    </row>
    <row r="54" spans="1:5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1">
        <v>0</v>
      </c>
    </row>
    <row r="55" spans="1:5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1">
        <v>0</v>
      </c>
    </row>
    <row r="56" spans="1:5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1">
        <v>0</v>
      </c>
    </row>
    <row r="57" spans="1:5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1">
        <v>0</v>
      </c>
    </row>
    <row r="58" spans="1:5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1">
        <v>0</v>
      </c>
    </row>
    <row r="59" spans="1:5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1">
        <v>0</v>
      </c>
    </row>
    <row r="60" spans="1:5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1">
        <v>0</v>
      </c>
    </row>
    <row r="61" spans="1:5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1">
        <v>0</v>
      </c>
    </row>
    <row r="62" spans="1:5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1">
        <v>0</v>
      </c>
    </row>
    <row r="63" spans="1:5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1">
        <v>0</v>
      </c>
    </row>
    <row r="64" spans="1:5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1">
        <v>0</v>
      </c>
    </row>
    <row r="65" spans="1:5" ht="15.5" x14ac:dyDescent="0.35">
      <c r="A65" s="4">
        <v>64</v>
      </c>
      <c r="B65" s="17" t="s">
        <v>29</v>
      </c>
      <c r="C65" s="17" t="s">
        <v>30</v>
      </c>
      <c r="D65" s="4">
        <v>2020</v>
      </c>
      <c r="E65" s="1">
        <v>1</v>
      </c>
    </row>
    <row r="66" spans="1:5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1">
        <v>1</v>
      </c>
    </row>
    <row r="67" spans="1:5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1">
        <v>0</v>
      </c>
    </row>
    <row r="68" spans="1:5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1">
        <v>1</v>
      </c>
    </row>
    <row r="69" spans="1:5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1">
        <v>1</v>
      </c>
    </row>
    <row r="70" spans="1:5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1">
        <v>0</v>
      </c>
    </row>
    <row r="71" spans="1:5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1">
        <v>0</v>
      </c>
    </row>
    <row r="72" spans="1:5" ht="15.5" x14ac:dyDescent="0.35">
      <c r="A72" s="4">
        <v>71</v>
      </c>
      <c r="B72" s="17" t="s">
        <v>45</v>
      </c>
      <c r="C72" s="17" t="s">
        <v>235</v>
      </c>
      <c r="D72" s="4">
        <v>2020</v>
      </c>
      <c r="E72" s="1">
        <v>1</v>
      </c>
    </row>
    <row r="73" spans="1:5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1">
        <v>0</v>
      </c>
    </row>
    <row r="74" spans="1:5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1">
        <v>0</v>
      </c>
    </row>
    <row r="75" spans="1:5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1">
        <v>0</v>
      </c>
    </row>
    <row r="76" spans="1:5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1">
        <v>1</v>
      </c>
    </row>
    <row r="77" spans="1:5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1">
        <v>1</v>
      </c>
    </row>
    <row r="78" spans="1:5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1">
        <v>1</v>
      </c>
    </row>
    <row r="79" spans="1:5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1">
        <v>0</v>
      </c>
    </row>
    <row r="80" spans="1:5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1">
        <v>1</v>
      </c>
    </row>
    <row r="81" spans="1:5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1">
        <v>1</v>
      </c>
    </row>
    <row r="82" spans="1:5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1">
        <v>1</v>
      </c>
    </row>
    <row r="83" spans="1:5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1">
        <v>0</v>
      </c>
    </row>
    <row r="84" spans="1:5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1">
        <v>1</v>
      </c>
    </row>
    <row r="85" spans="1:5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1">
        <v>0</v>
      </c>
    </row>
    <row r="86" spans="1:5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1">
        <v>0</v>
      </c>
    </row>
    <row r="87" spans="1:5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1">
        <v>0</v>
      </c>
    </row>
    <row r="88" spans="1:5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1">
        <v>0</v>
      </c>
    </row>
    <row r="89" spans="1:5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1">
        <v>1</v>
      </c>
    </row>
    <row r="90" spans="1:5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1">
        <v>1</v>
      </c>
    </row>
    <row r="91" spans="1:5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1">
        <v>1</v>
      </c>
    </row>
    <row r="92" spans="1:5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1">
        <v>1</v>
      </c>
    </row>
    <row r="93" spans="1:5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1">
        <v>1</v>
      </c>
    </row>
    <row r="94" spans="1:5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1">
        <v>1</v>
      </c>
    </row>
    <row r="95" spans="1:5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1">
        <v>0</v>
      </c>
    </row>
    <row r="96" spans="1:5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1">
        <v>0</v>
      </c>
    </row>
    <row r="97" spans="1:5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1">
        <v>1</v>
      </c>
    </row>
    <row r="98" spans="1:5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1">
        <v>1</v>
      </c>
    </row>
    <row r="99" spans="1:5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1">
        <v>1</v>
      </c>
    </row>
    <row r="100" spans="1:5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1">
        <v>1</v>
      </c>
    </row>
    <row r="101" spans="1:5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1">
        <v>0</v>
      </c>
    </row>
    <row r="102" spans="1:5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1">
        <v>1</v>
      </c>
    </row>
    <row r="103" spans="1:5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1">
        <v>0</v>
      </c>
    </row>
    <row r="104" spans="1:5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1">
        <v>1</v>
      </c>
    </row>
    <row r="105" spans="1:5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1">
        <v>0</v>
      </c>
    </row>
    <row r="106" spans="1:5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1">
        <v>0</v>
      </c>
    </row>
    <row r="107" spans="1:5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1">
        <v>1</v>
      </c>
    </row>
    <row r="108" spans="1:5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1">
        <v>1</v>
      </c>
    </row>
    <row r="109" spans="1:5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1">
        <v>1</v>
      </c>
    </row>
    <row r="110" spans="1:5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1">
        <v>0</v>
      </c>
    </row>
    <row r="111" spans="1:5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1">
        <v>1</v>
      </c>
    </row>
    <row r="112" spans="1:5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1">
        <v>0</v>
      </c>
    </row>
    <row r="113" spans="1:5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1">
        <v>1</v>
      </c>
    </row>
    <row r="114" spans="1:5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1">
        <v>1</v>
      </c>
    </row>
    <row r="115" spans="1:5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1">
        <v>1</v>
      </c>
    </row>
    <row r="116" spans="1:5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1">
        <v>0</v>
      </c>
    </row>
    <row r="117" spans="1:5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1">
        <v>0</v>
      </c>
    </row>
    <row r="118" spans="1:5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1">
        <v>0</v>
      </c>
    </row>
    <row r="119" spans="1:5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1">
        <v>0</v>
      </c>
    </row>
    <row r="120" spans="1:5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1">
        <v>0</v>
      </c>
    </row>
    <row r="121" spans="1:5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1">
        <v>0</v>
      </c>
    </row>
    <row r="122" spans="1:5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1">
        <v>0</v>
      </c>
    </row>
    <row r="123" spans="1:5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1">
        <v>0</v>
      </c>
    </row>
    <row r="124" spans="1:5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1">
        <v>0</v>
      </c>
    </row>
    <row r="125" spans="1:5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1">
        <v>0</v>
      </c>
    </row>
    <row r="126" spans="1:5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1">
        <v>0</v>
      </c>
    </row>
    <row r="127" spans="1:5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1">
        <v>1</v>
      </c>
    </row>
    <row r="128" spans="1:5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1">
        <v>1</v>
      </c>
    </row>
    <row r="129" spans="1:5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1">
        <v>0</v>
      </c>
    </row>
    <row r="130" spans="1:5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1">
        <v>1</v>
      </c>
    </row>
    <row r="131" spans="1:5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1">
        <v>1</v>
      </c>
    </row>
    <row r="132" spans="1:5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1">
        <v>0</v>
      </c>
    </row>
    <row r="133" spans="1:5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1">
        <v>0</v>
      </c>
    </row>
    <row r="134" spans="1:5" ht="15.5" x14ac:dyDescent="0.35">
      <c r="A134" s="4">
        <v>133</v>
      </c>
      <c r="B134" s="17" t="s">
        <v>45</v>
      </c>
      <c r="C134" s="17" t="s">
        <v>235</v>
      </c>
      <c r="D134" s="4">
        <v>2021</v>
      </c>
      <c r="E134" s="1">
        <v>1</v>
      </c>
    </row>
    <row r="135" spans="1:5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1">
        <v>0</v>
      </c>
    </row>
    <row r="136" spans="1:5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1">
        <v>0</v>
      </c>
    </row>
    <row r="137" spans="1:5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1">
        <v>0</v>
      </c>
    </row>
    <row r="138" spans="1:5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1">
        <v>1</v>
      </c>
    </row>
    <row r="139" spans="1:5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1">
        <v>1</v>
      </c>
    </row>
    <row r="140" spans="1:5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1">
        <v>1</v>
      </c>
    </row>
    <row r="141" spans="1:5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1">
        <v>0</v>
      </c>
    </row>
    <row r="142" spans="1:5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1">
        <v>1</v>
      </c>
    </row>
    <row r="143" spans="1:5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1">
        <v>1</v>
      </c>
    </row>
    <row r="144" spans="1:5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1">
        <v>1</v>
      </c>
    </row>
    <row r="145" spans="1:5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1">
        <v>0</v>
      </c>
    </row>
    <row r="146" spans="1:5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1">
        <v>1</v>
      </c>
    </row>
    <row r="147" spans="1:5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1">
        <v>0</v>
      </c>
    </row>
    <row r="148" spans="1:5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1">
        <v>0</v>
      </c>
    </row>
    <row r="149" spans="1:5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1">
        <v>0</v>
      </c>
    </row>
    <row r="150" spans="1:5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1">
        <v>0</v>
      </c>
    </row>
    <row r="151" spans="1:5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1">
        <v>1</v>
      </c>
    </row>
    <row r="152" spans="1:5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1">
        <v>1</v>
      </c>
    </row>
    <row r="153" spans="1:5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1">
        <v>1</v>
      </c>
    </row>
    <row r="154" spans="1:5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1">
        <v>1</v>
      </c>
    </row>
    <row r="155" spans="1:5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1">
        <v>1</v>
      </c>
    </row>
    <row r="156" spans="1:5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1">
        <v>1</v>
      </c>
    </row>
    <row r="157" spans="1:5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1">
        <v>0</v>
      </c>
    </row>
    <row r="158" spans="1:5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1">
        <v>0</v>
      </c>
    </row>
    <row r="159" spans="1:5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1">
        <v>1</v>
      </c>
    </row>
    <row r="160" spans="1:5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1">
        <v>1</v>
      </c>
    </row>
    <row r="161" spans="1:5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1">
        <v>1</v>
      </c>
    </row>
    <row r="162" spans="1:5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1">
        <v>1</v>
      </c>
    </row>
    <row r="163" spans="1:5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1">
        <v>0</v>
      </c>
    </row>
    <row r="164" spans="1:5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1">
        <v>1</v>
      </c>
    </row>
    <row r="165" spans="1:5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1">
        <v>0</v>
      </c>
    </row>
    <row r="166" spans="1:5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1">
        <v>1</v>
      </c>
    </row>
    <row r="167" spans="1:5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1">
        <v>0</v>
      </c>
    </row>
    <row r="168" spans="1:5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1">
        <v>0</v>
      </c>
    </row>
    <row r="169" spans="1:5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1">
        <v>1</v>
      </c>
    </row>
    <row r="170" spans="1:5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1">
        <v>1</v>
      </c>
    </row>
    <row r="171" spans="1:5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1">
        <v>1</v>
      </c>
    </row>
    <row r="172" spans="1:5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1">
        <v>0</v>
      </c>
    </row>
    <row r="173" spans="1:5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1">
        <v>1</v>
      </c>
    </row>
    <row r="174" spans="1:5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1">
        <v>0</v>
      </c>
    </row>
    <row r="175" spans="1:5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1">
        <v>1</v>
      </c>
    </row>
    <row r="176" spans="1:5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1">
        <v>1</v>
      </c>
    </row>
    <row r="177" spans="1:5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1">
        <v>1</v>
      </c>
    </row>
    <row r="178" spans="1:5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1">
        <v>0</v>
      </c>
    </row>
    <row r="179" spans="1:5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1">
        <v>0</v>
      </c>
    </row>
    <row r="180" spans="1:5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1">
        <v>0</v>
      </c>
    </row>
    <row r="181" spans="1:5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1">
        <v>0</v>
      </c>
    </row>
    <row r="182" spans="1:5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1">
        <v>0</v>
      </c>
    </row>
    <row r="183" spans="1:5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1">
        <v>0</v>
      </c>
    </row>
    <row r="184" spans="1:5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1">
        <v>0</v>
      </c>
    </row>
    <row r="185" spans="1:5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1">
        <v>0</v>
      </c>
    </row>
    <row r="186" spans="1:5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1">
        <v>0</v>
      </c>
    </row>
    <row r="187" spans="1:5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1">
        <v>0</v>
      </c>
    </row>
    <row r="188" spans="1:5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1">
        <v>0</v>
      </c>
    </row>
    <row r="189" spans="1:5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1">
        <v>1</v>
      </c>
    </row>
    <row r="190" spans="1:5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1">
        <v>1</v>
      </c>
    </row>
    <row r="191" spans="1:5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1">
        <v>0</v>
      </c>
    </row>
    <row r="192" spans="1:5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1">
        <v>1</v>
      </c>
    </row>
    <row r="193" spans="1:5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1">
        <v>1</v>
      </c>
    </row>
    <row r="194" spans="1:5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1">
        <v>0</v>
      </c>
    </row>
    <row r="195" spans="1:5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1">
        <v>0</v>
      </c>
    </row>
    <row r="196" spans="1:5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1">
        <v>1</v>
      </c>
    </row>
    <row r="197" spans="1:5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1">
        <v>0</v>
      </c>
    </row>
    <row r="198" spans="1:5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1">
        <v>0</v>
      </c>
    </row>
    <row r="199" spans="1:5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1">
        <v>0</v>
      </c>
    </row>
    <row r="200" spans="1:5" ht="15.5" x14ac:dyDescent="0.35">
      <c r="A200" s="4">
        <v>199</v>
      </c>
      <c r="B200" s="17" t="s">
        <v>60</v>
      </c>
      <c r="C200" s="17" t="s">
        <v>61</v>
      </c>
      <c r="D200" s="4">
        <v>2022</v>
      </c>
      <c r="E200" s="1">
        <v>1</v>
      </c>
    </row>
    <row r="201" spans="1:5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1">
        <v>1</v>
      </c>
    </row>
    <row r="202" spans="1:5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1">
        <v>1</v>
      </c>
    </row>
    <row r="203" spans="1:5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1">
        <v>0</v>
      </c>
    </row>
    <row r="204" spans="1:5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1">
        <v>1</v>
      </c>
    </row>
    <row r="205" spans="1:5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1">
        <v>1</v>
      </c>
    </row>
    <row r="206" spans="1:5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1">
        <v>1</v>
      </c>
    </row>
    <row r="207" spans="1:5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1">
        <v>0</v>
      </c>
    </row>
    <row r="208" spans="1:5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1">
        <v>1</v>
      </c>
    </row>
    <row r="209" spans="1:5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1">
        <v>0</v>
      </c>
    </row>
    <row r="210" spans="1:5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1">
        <v>0</v>
      </c>
    </row>
    <row r="211" spans="1:5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1">
        <v>0</v>
      </c>
    </row>
    <row r="212" spans="1:5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1">
        <v>0</v>
      </c>
    </row>
    <row r="213" spans="1:5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1">
        <v>1</v>
      </c>
    </row>
    <row r="214" spans="1:5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1">
        <v>1</v>
      </c>
    </row>
    <row r="215" spans="1:5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1">
        <v>1</v>
      </c>
    </row>
    <row r="216" spans="1:5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1">
        <v>1</v>
      </c>
    </row>
    <row r="217" spans="1:5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1">
        <v>1</v>
      </c>
    </row>
    <row r="218" spans="1:5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1">
        <v>1</v>
      </c>
    </row>
    <row r="219" spans="1:5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1">
        <v>0</v>
      </c>
    </row>
    <row r="220" spans="1:5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1">
        <v>0</v>
      </c>
    </row>
    <row r="221" spans="1:5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1">
        <v>1</v>
      </c>
    </row>
    <row r="222" spans="1:5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1">
        <v>1</v>
      </c>
    </row>
    <row r="223" spans="1:5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1">
        <v>1</v>
      </c>
    </row>
    <row r="224" spans="1:5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1">
        <v>1</v>
      </c>
    </row>
    <row r="225" spans="1:5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1">
        <v>0</v>
      </c>
    </row>
    <row r="226" spans="1:5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1">
        <v>1</v>
      </c>
    </row>
    <row r="227" spans="1:5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1">
        <v>0</v>
      </c>
    </row>
    <row r="228" spans="1:5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1">
        <v>1</v>
      </c>
    </row>
    <row r="229" spans="1:5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1">
        <v>0</v>
      </c>
    </row>
    <row r="230" spans="1:5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1">
        <v>0</v>
      </c>
    </row>
    <row r="231" spans="1:5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1">
        <v>1</v>
      </c>
    </row>
    <row r="232" spans="1:5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1">
        <v>1</v>
      </c>
    </row>
    <row r="233" spans="1:5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1">
        <v>1</v>
      </c>
    </row>
    <row r="234" spans="1:5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1">
        <v>0</v>
      </c>
    </row>
    <row r="235" spans="1:5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1">
        <v>1</v>
      </c>
    </row>
    <row r="236" spans="1:5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1">
        <v>0</v>
      </c>
    </row>
    <row r="237" spans="1:5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1">
        <v>1</v>
      </c>
    </row>
    <row r="238" spans="1:5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1">
        <v>1</v>
      </c>
    </row>
    <row r="239" spans="1:5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1">
        <v>1</v>
      </c>
    </row>
    <row r="240" spans="1:5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1">
        <v>0</v>
      </c>
    </row>
    <row r="241" spans="1:5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1">
        <v>0</v>
      </c>
    </row>
    <row r="242" spans="1:5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1">
        <v>0</v>
      </c>
    </row>
    <row r="243" spans="1:5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1">
        <v>0</v>
      </c>
    </row>
    <row r="244" spans="1:5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1">
        <v>0</v>
      </c>
    </row>
    <row r="245" spans="1:5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1">
        <v>0</v>
      </c>
    </row>
    <row r="246" spans="1:5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1">
        <v>0</v>
      </c>
    </row>
    <row r="247" spans="1:5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1">
        <v>0</v>
      </c>
    </row>
    <row r="248" spans="1:5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1">
        <v>0</v>
      </c>
    </row>
    <row r="249" spans="1:5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1">
        <v>0</v>
      </c>
    </row>
    <row r="250" spans="1:5" ht="15.5" x14ac:dyDescent="0.35">
      <c r="A250" s="4">
        <v>249</v>
      </c>
      <c r="B250" s="17"/>
      <c r="C250" s="17"/>
      <c r="D250" s="4"/>
      <c r="E250" s="1"/>
    </row>
    <row r="251" spans="1:5" ht="15.5" x14ac:dyDescent="0.35">
      <c r="A251" s="4">
        <v>250</v>
      </c>
      <c r="B251" s="17"/>
      <c r="C251" s="17"/>
      <c r="D251" s="4"/>
      <c r="E251" s="1"/>
    </row>
    <row r="252" spans="1:5" ht="15.5" x14ac:dyDescent="0.35">
      <c r="A252" s="4">
        <v>251</v>
      </c>
      <c r="B252" s="17"/>
      <c r="C252" s="17"/>
      <c r="D252" s="4"/>
      <c r="E252" s="1"/>
    </row>
    <row r="253" spans="1:5" ht="15.5" x14ac:dyDescent="0.35">
      <c r="A253" s="4">
        <v>252</v>
      </c>
      <c r="B253" s="17"/>
      <c r="C253" s="17"/>
      <c r="D253" s="4"/>
      <c r="E253" s="1"/>
    </row>
    <row r="254" spans="1:5" ht="15.5" x14ac:dyDescent="0.35">
      <c r="A254" s="4">
        <v>253</v>
      </c>
      <c r="B254" s="17"/>
      <c r="C254" s="17"/>
      <c r="D254" s="4"/>
      <c r="E254" s="1"/>
    </row>
    <row r="255" spans="1:5" ht="15.5" x14ac:dyDescent="0.35">
      <c r="A255" s="4">
        <v>254</v>
      </c>
      <c r="B255" s="17"/>
      <c r="C255" s="17"/>
      <c r="D255" s="4"/>
      <c r="E255" s="1"/>
    </row>
    <row r="256" spans="1:5" ht="15.5" x14ac:dyDescent="0.35">
      <c r="A256" s="4">
        <v>255</v>
      </c>
      <c r="B256" s="17"/>
      <c r="C256" s="17"/>
      <c r="D256" s="4"/>
      <c r="E256" s="1"/>
    </row>
    <row r="257" spans="1:5" ht="15.5" x14ac:dyDescent="0.35">
      <c r="A257" s="4">
        <v>256</v>
      </c>
      <c r="B257" s="51"/>
      <c r="C257" s="51"/>
      <c r="D257" s="50"/>
      <c r="E257" s="1"/>
    </row>
    <row r="258" spans="1:5" ht="15.5" x14ac:dyDescent="0.35">
      <c r="A258" s="4"/>
      <c r="B258" s="17"/>
      <c r="C258" s="17"/>
      <c r="D258" s="4"/>
      <c r="E258" s="1"/>
    </row>
    <row r="259" spans="1:5" ht="15.5" x14ac:dyDescent="0.35">
      <c r="A259" s="4"/>
      <c r="B259" s="17"/>
      <c r="C259" s="17"/>
      <c r="D259" s="4"/>
      <c r="E259" s="1"/>
    </row>
    <row r="260" spans="1:5" ht="15.5" x14ac:dyDescent="0.35">
      <c r="A260" s="4"/>
      <c r="B260" s="17"/>
      <c r="C260" s="17"/>
      <c r="D260" s="4"/>
      <c r="E260" s="1"/>
    </row>
    <row r="261" spans="1:5" ht="15.5" x14ac:dyDescent="0.35">
      <c r="A261" s="4"/>
      <c r="B261" s="17"/>
      <c r="C261" s="17"/>
      <c r="D261" s="4"/>
      <c r="E261" s="1"/>
    </row>
    <row r="262" spans="1:5" ht="15.5" x14ac:dyDescent="0.35">
      <c r="A262" s="4"/>
      <c r="B262" s="17"/>
      <c r="C262" s="17"/>
      <c r="D262" s="4"/>
      <c r="E262" s="1"/>
    </row>
    <row r="263" spans="1:5" ht="15.5" x14ac:dyDescent="0.35">
      <c r="A263" s="4"/>
      <c r="B263" s="17"/>
      <c r="C263" s="17"/>
      <c r="D263" s="4"/>
      <c r="E263" s="1"/>
    </row>
    <row r="264" spans="1:5" ht="15.5" x14ac:dyDescent="0.35">
      <c r="A264" s="4"/>
      <c r="B264" s="17"/>
      <c r="C264" s="17"/>
      <c r="D264" s="4"/>
      <c r="E264" s="1"/>
    </row>
    <row r="265" spans="1:5" ht="15.5" x14ac:dyDescent="0.35">
      <c r="A265" s="4"/>
      <c r="B265" s="17"/>
      <c r="C265" s="17"/>
      <c r="D265" s="4"/>
      <c r="E26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5CE4-7BC9-4307-BD3E-0314D6BAFA5A}">
  <dimension ref="A1:E265"/>
  <sheetViews>
    <sheetView topLeftCell="A235" workbookViewId="0">
      <selection activeCell="F249" sqref="F249"/>
    </sheetView>
  </sheetViews>
  <sheetFormatPr defaultRowHeight="14.5" x14ac:dyDescent="0.35"/>
  <cols>
    <col min="2" max="2" width="16" customWidth="1"/>
    <col min="3" max="3" width="39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6</v>
      </c>
      <c r="E1" s="49" t="s">
        <v>251</v>
      </c>
    </row>
    <row r="2" spans="1:5" ht="15.5" x14ac:dyDescent="0.35">
      <c r="A2" s="4">
        <v>1</v>
      </c>
      <c r="B2" s="17" t="s">
        <v>26</v>
      </c>
      <c r="C2" s="18" t="s">
        <v>239</v>
      </c>
      <c r="D2" s="4">
        <v>2019</v>
      </c>
      <c r="E2" s="1">
        <v>1</v>
      </c>
    </row>
    <row r="3" spans="1:5" ht="15.5" x14ac:dyDescent="0.35">
      <c r="A3" s="4">
        <v>2</v>
      </c>
      <c r="B3" s="17" t="s">
        <v>29</v>
      </c>
      <c r="C3" s="17" t="s">
        <v>30</v>
      </c>
      <c r="D3" s="4">
        <v>2019</v>
      </c>
      <c r="E3" s="1">
        <v>1</v>
      </c>
    </row>
    <row r="4" spans="1:5" ht="15.5" x14ac:dyDescent="0.35">
      <c r="A4" s="4">
        <v>3</v>
      </c>
      <c r="B4" s="17" t="s">
        <v>31</v>
      </c>
      <c r="C4" s="17" t="s">
        <v>32</v>
      </c>
      <c r="D4" s="4">
        <v>2019</v>
      </c>
      <c r="E4" s="1">
        <v>1</v>
      </c>
    </row>
    <row r="5" spans="1:5" ht="15.5" x14ac:dyDescent="0.35">
      <c r="A5" s="4">
        <v>4</v>
      </c>
      <c r="B5" s="17" t="s">
        <v>33</v>
      </c>
      <c r="C5" s="17" t="s">
        <v>34</v>
      </c>
      <c r="D5" s="4">
        <v>2019</v>
      </c>
      <c r="E5" s="1">
        <v>1</v>
      </c>
    </row>
    <row r="6" spans="1:5" ht="15.5" x14ac:dyDescent="0.35">
      <c r="A6" s="4">
        <v>5</v>
      </c>
      <c r="B6" s="17" t="s">
        <v>35</v>
      </c>
      <c r="C6" s="17" t="s">
        <v>36</v>
      </c>
      <c r="D6" s="4">
        <v>2019</v>
      </c>
      <c r="E6" s="1">
        <v>1</v>
      </c>
    </row>
    <row r="7" spans="1:5" ht="15.5" x14ac:dyDescent="0.35">
      <c r="A7" s="4">
        <v>6</v>
      </c>
      <c r="B7" s="17" t="s">
        <v>37</v>
      </c>
      <c r="C7" s="17" t="s">
        <v>38</v>
      </c>
      <c r="D7" s="4">
        <v>2019</v>
      </c>
      <c r="E7" s="1">
        <v>1</v>
      </c>
    </row>
    <row r="8" spans="1:5" ht="15.5" x14ac:dyDescent="0.35">
      <c r="A8" s="4">
        <v>7</v>
      </c>
      <c r="B8" s="17" t="s">
        <v>39</v>
      </c>
      <c r="C8" s="17" t="s">
        <v>40</v>
      </c>
      <c r="D8" s="4">
        <v>2019</v>
      </c>
      <c r="E8" s="1">
        <v>1</v>
      </c>
    </row>
    <row r="9" spans="1:5" ht="15.5" x14ac:dyDescent="0.35">
      <c r="A9" s="4">
        <v>8</v>
      </c>
      <c r="B9" s="17" t="s">
        <v>43</v>
      </c>
      <c r="C9" s="17" t="s">
        <v>44</v>
      </c>
      <c r="D9" s="4">
        <v>2019</v>
      </c>
      <c r="E9" s="1">
        <v>1</v>
      </c>
    </row>
    <row r="10" spans="1:5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1">
        <v>1</v>
      </c>
    </row>
    <row r="11" spans="1:5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1">
        <v>1</v>
      </c>
    </row>
    <row r="12" spans="1:5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1">
        <v>1</v>
      </c>
    </row>
    <row r="13" spans="1:5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1">
        <v>1</v>
      </c>
    </row>
    <row r="14" spans="1:5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1">
        <v>1</v>
      </c>
    </row>
    <row r="15" spans="1:5" ht="15.5" x14ac:dyDescent="0.35">
      <c r="A15" s="4">
        <v>14</v>
      </c>
      <c r="B15" s="17" t="s">
        <v>66</v>
      </c>
      <c r="C15" s="17" t="s">
        <v>67</v>
      </c>
      <c r="D15" s="4">
        <v>2019</v>
      </c>
      <c r="E15" s="1">
        <v>1</v>
      </c>
    </row>
    <row r="16" spans="1:5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1">
        <v>1</v>
      </c>
    </row>
    <row r="17" spans="1:5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1">
        <v>1</v>
      </c>
    </row>
    <row r="18" spans="1:5" ht="15.5" x14ac:dyDescent="0.35">
      <c r="A18" s="4">
        <v>17</v>
      </c>
      <c r="B18" s="17" t="s">
        <v>76</v>
      </c>
      <c r="C18" s="17" t="s">
        <v>77</v>
      </c>
      <c r="D18" s="4">
        <v>2019</v>
      </c>
      <c r="E18" s="1">
        <v>1</v>
      </c>
    </row>
    <row r="19" spans="1:5" ht="15.5" x14ac:dyDescent="0.35">
      <c r="A19" s="4">
        <v>18</v>
      </c>
      <c r="B19" s="17" t="s">
        <v>78</v>
      </c>
      <c r="C19" s="17" t="s">
        <v>79</v>
      </c>
      <c r="D19" s="4">
        <v>2019</v>
      </c>
      <c r="E19" s="1">
        <v>1</v>
      </c>
    </row>
    <row r="20" spans="1:5" ht="15.5" x14ac:dyDescent="0.35">
      <c r="A20" s="4">
        <v>19</v>
      </c>
      <c r="B20" s="17" t="s">
        <v>80</v>
      </c>
      <c r="C20" s="17" t="s">
        <v>81</v>
      </c>
      <c r="D20" s="4">
        <v>2019</v>
      </c>
      <c r="E20" s="1">
        <v>1</v>
      </c>
    </row>
    <row r="21" spans="1:5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1">
        <v>1</v>
      </c>
    </row>
    <row r="22" spans="1:5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1">
        <v>1</v>
      </c>
    </row>
    <row r="23" spans="1:5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1">
        <v>1</v>
      </c>
    </row>
    <row r="24" spans="1:5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1">
        <v>1</v>
      </c>
    </row>
    <row r="25" spans="1:5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1">
        <v>1</v>
      </c>
    </row>
    <row r="26" spans="1:5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1">
        <v>1</v>
      </c>
    </row>
    <row r="27" spans="1:5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1">
        <v>1</v>
      </c>
    </row>
    <row r="28" spans="1:5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1">
        <v>1</v>
      </c>
    </row>
    <row r="29" spans="1:5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1">
        <v>1</v>
      </c>
    </row>
    <row r="30" spans="1:5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1">
        <v>1</v>
      </c>
    </row>
    <row r="31" spans="1:5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1">
        <v>1</v>
      </c>
    </row>
    <row r="32" spans="1:5" ht="15.5" x14ac:dyDescent="0.35">
      <c r="A32" s="4">
        <v>31</v>
      </c>
      <c r="B32" s="17" t="s">
        <v>110</v>
      </c>
      <c r="C32" s="17" t="s">
        <v>111</v>
      </c>
      <c r="D32" s="4">
        <v>2019</v>
      </c>
      <c r="E32" s="1">
        <v>1</v>
      </c>
    </row>
    <row r="33" spans="1:5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1">
        <v>1</v>
      </c>
    </row>
    <row r="34" spans="1:5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1">
        <v>1</v>
      </c>
    </row>
    <row r="35" spans="1:5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1">
        <v>1</v>
      </c>
    </row>
    <row r="36" spans="1:5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1">
        <v>1</v>
      </c>
    </row>
    <row r="37" spans="1:5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1">
        <v>1</v>
      </c>
    </row>
    <row r="38" spans="1:5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1">
        <v>1</v>
      </c>
    </row>
    <row r="39" spans="1:5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1">
        <v>1</v>
      </c>
    </row>
    <row r="40" spans="1:5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1">
        <v>1</v>
      </c>
    </row>
    <row r="41" spans="1:5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1">
        <v>1</v>
      </c>
    </row>
    <row r="42" spans="1:5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1">
        <v>1</v>
      </c>
    </row>
    <row r="43" spans="1:5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1">
        <v>1</v>
      </c>
    </row>
    <row r="44" spans="1:5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1">
        <v>1</v>
      </c>
    </row>
    <row r="45" spans="1:5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1">
        <v>1</v>
      </c>
    </row>
    <row r="46" spans="1:5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1">
        <v>1</v>
      </c>
    </row>
    <row r="47" spans="1:5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1">
        <v>1</v>
      </c>
    </row>
    <row r="48" spans="1:5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1">
        <v>1</v>
      </c>
    </row>
    <row r="49" spans="1:5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1">
        <v>1</v>
      </c>
    </row>
    <row r="50" spans="1:5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1">
        <v>1</v>
      </c>
    </row>
    <row r="51" spans="1:5" ht="15.5" x14ac:dyDescent="0.35">
      <c r="A51" s="4">
        <v>50</v>
      </c>
      <c r="B51" s="17" t="s">
        <v>190</v>
      </c>
      <c r="C51" s="17" t="s">
        <v>191</v>
      </c>
      <c r="D51" s="4">
        <v>2019</v>
      </c>
      <c r="E51" s="1">
        <v>1</v>
      </c>
    </row>
    <row r="52" spans="1:5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1">
        <v>1</v>
      </c>
    </row>
    <row r="53" spans="1:5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1">
        <v>1</v>
      </c>
    </row>
    <row r="54" spans="1:5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1">
        <v>1</v>
      </c>
    </row>
    <row r="55" spans="1:5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1">
        <v>1</v>
      </c>
    </row>
    <row r="56" spans="1:5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1">
        <v>1</v>
      </c>
    </row>
    <row r="57" spans="1:5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1">
        <v>1</v>
      </c>
    </row>
    <row r="58" spans="1:5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1">
        <v>1</v>
      </c>
    </row>
    <row r="59" spans="1:5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1">
        <v>1</v>
      </c>
    </row>
    <row r="60" spans="1:5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1">
        <v>1</v>
      </c>
    </row>
    <row r="61" spans="1:5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1">
        <v>1</v>
      </c>
    </row>
    <row r="62" spans="1:5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1">
        <v>1</v>
      </c>
    </row>
    <row r="63" spans="1:5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1">
        <v>1</v>
      </c>
    </row>
    <row r="64" spans="1:5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1">
        <v>1</v>
      </c>
    </row>
    <row r="65" spans="1:5" ht="15.5" x14ac:dyDescent="0.35">
      <c r="A65" s="4">
        <v>64</v>
      </c>
      <c r="B65" s="17" t="s">
        <v>29</v>
      </c>
      <c r="C65" s="17" t="s">
        <v>30</v>
      </c>
      <c r="D65" s="4">
        <v>2020</v>
      </c>
      <c r="E65" s="1">
        <v>1</v>
      </c>
    </row>
    <row r="66" spans="1:5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1">
        <v>1</v>
      </c>
    </row>
    <row r="67" spans="1:5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1">
        <v>1</v>
      </c>
    </row>
    <row r="68" spans="1:5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1">
        <v>1</v>
      </c>
    </row>
    <row r="69" spans="1:5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1">
        <v>1</v>
      </c>
    </row>
    <row r="70" spans="1:5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1">
        <v>1</v>
      </c>
    </row>
    <row r="71" spans="1:5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1">
        <v>1</v>
      </c>
    </row>
    <row r="72" spans="1:5" ht="15.5" x14ac:dyDescent="0.35">
      <c r="A72" s="4">
        <v>71</v>
      </c>
      <c r="B72" s="17" t="s">
        <v>45</v>
      </c>
      <c r="C72" s="17" t="s">
        <v>235</v>
      </c>
      <c r="D72" s="4">
        <v>2020</v>
      </c>
      <c r="E72" s="1">
        <v>1</v>
      </c>
    </row>
    <row r="73" spans="1:5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1">
        <v>1</v>
      </c>
    </row>
    <row r="74" spans="1:5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1">
        <v>1</v>
      </c>
    </row>
    <row r="75" spans="1:5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1">
        <v>1</v>
      </c>
    </row>
    <row r="76" spans="1:5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1">
        <v>1</v>
      </c>
    </row>
    <row r="77" spans="1:5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1">
        <v>1</v>
      </c>
    </row>
    <row r="78" spans="1:5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1">
        <v>1</v>
      </c>
    </row>
    <row r="79" spans="1:5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1">
        <v>1</v>
      </c>
    </row>
    <row r="80" spans="1:5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1">
        <v>1</v>
      </c>
    </row>
    <row r="81" spans="1:5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1">
        <v>1</v>
      </c>
    </row>
    <row r="82" spans="1:5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1">
        <v>1</v>
      </c>
    </row>
    <row r="83" spans="1:5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1">
        <v>1</v>
      </c>
    </row>
    <row r="84" spans="1:5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1">
        <v>1</v>
      </c>
    </row>
    <row r="85" spans="1:5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1">
        <v>1</v>
      </c>
    </row>
    <row r="86" spans="1:5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1">
        <v>1</v>
      </c>
    </row>
    <row r="87" spans="1:5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1">
        <v>1</v>
      </c>
    </row>
    <row r="88" spans="1:5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1">
        <v>1</v>
      </c>
    </row>
    <row r="89" spans="1:5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1">
        <v>1</v>
      </c>
    </row>
    <row r="90" spans="1:5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1">
        <v>1</v>
      </c>
    </row>
    <row r="91" spans="1:5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1">
        <v>1</v>
      </c>
    </row>
    <row r="92" spans="1:5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1">
        <v>1</v>
      </c>
    </row>
    <row r="93" spans="1:5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1">
        <v>1</v>
      </c>
    </row>
    <row r="94" spans="1:5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1">
        <v>1</v>
      </c>
    </row>
    <row r="95" spans="1:5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1">
        <v>1</v>
      </c>
    </row>
    <row r="96" spans="1:5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1">
        <v>1</v>
      </c>
    </row>
    <row r="97" spans="1:5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1">
        <v>1</v>
      </c>
    </row>
    <row r="98" spans="1:5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1">
        <v>1</v>
      </c>
    </row>
    <row r="99" spans="1:5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1">
        <v>1</v>
      </c>
    </row>
    <row r="100" spans="1:5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1">
        <v>1</v>
      </c>
    </row>
    <row r="101" spans="1:5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1">
        <v>1</v>
      </c>
    </row>
    <row r="102" spans="1:5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1">
        <v>1</v>
      </c>
    </row>
    <row r="103" spans="1:5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1">
        <v>1</v>
      </c>
    </row>
    <row r="104" spans="1:5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1">
        <v>1</v>
      </c>
    </row>
    <row r="105" spans="1:5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1">
        <v>1</v>
      </c>
    </row>
    <row r="106" spans="1:5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1">
        <v>1</v>
      </c>
    </row>
    <row r="107" spans="1:5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1">
        <v>1</v>
      </c>
    </row>
    <row r="108" spans="1:5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1">
        <v>1</v>
      </c>
    </row>
    <row r="109" spans="1:5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1">
        <v>1</v>
      </c>
    </row>
    <row r="110" spans="1:5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1">
        <v>1</v>
      </c>
    </row>
    <row r="111" spans="1:5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1">
        <v>1</v>
      </c>
    </row>
    <row r="112" spans="1:5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1">
        <v>1</v>
      </c>
    </row>
    <row r="113" spans="1:5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1">
        <v>1</v>
      </c>
    </row>
    <row r="114" spans="1:5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1">
        <v>1</v>
      </c>
    </row>
    <row r="115" spans="1:5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1">
        <v>1</v>
      </c>
    </row>
    <row r="116" spans="1:5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1">
        <v>1</v>
      </c>
    </row>
    <row r="117" spans="1:5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1">
        <v>1</v>
      </c>
    </row>
    <row r="118" spans="1:5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1">
        <v>1</v>
      </c>
    </row>
    <row r="119" spans="1:5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1">
        <v>1</v>
      </c>
    </row>
    <row r="120" spans="1:5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1">
        <v>1</v>
      </c>
    </row>
    <row r="121" spans="1:5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1">
        <v>1</v>
      </c>
    </row>
    <row r="122" spans="1:5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1">
        <v>1</v>
      </c>
    </row>
    <row r="123" spans="1:5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1">
        <v>1</v>
      </c>
    </row>
    <row r="124" spans="1:5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1">
        <v>1</v>
      </c>
    </row>
    <row r="125" spans="1:5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1">
        <v>1</v>
      </c>
    </row>
    <row r="126" spans="1:5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1">
        <v>1</v>
      </c>
    </row>
    <row r="127" spans="1:5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1">
        <v>1</v>
      </c>
    </row>
    <row r="128" spans="1:5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1">
        <v>1</v>
      </c>
    </row>
    <row r="129" spans="1:5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1">
        <v>1</v>
      </c>
    </row>
    <row r="130" spans="1:5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1">
        <v>1</v>
      </c>
    </row>
    <row r="131" spans="1:5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1">
        <v>1</v>
      </c>
    </row>
    <row r="132" spans="1:5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1">
        <v>1</v>
      </c>
    </row>
    <row r="133" spans="1:5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1">
        <v>1</v>
      </c>
    </row>
    <row r="134" spans="1:5" ht="15.5" x14ac:dyDescent="0.35">
      <c r="A134" s="4">
        <v>133</v>
      </c>
      <c r="B134" s="17" t="s">
        <v>45</v>
      </c>
      <c r="C134" s="17" t="s">
        <v>235</v>
      </c>
      <c r="D134" s="4">
        <v>2021</v>
      </c>
      <c r="E134" s="1">
        <v>1</v>
      </c>
    </row>
    <row r="135" spans="1:5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1">
        <v>1</v>
      </c>
    </row>
    <row r="136" spans="1:5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1">
        <v>1</v>
      </c>
    </row>
    <row r="137" spans="1:5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1">
        <v>1</v>
      </c>
    </row>
    <row r="138" spans="1:5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1">
        <v>1</v>
      </c>
    </row>
    <row r="139" spans="1:5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1">
        <v>1</v>
      </c>
    </row>
    <row r="140" spans="1:5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1">
        <v>1</v>
      </c>
    </row>
    <row r="141" spans="1:5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1">
        <v>1</v>
      </c>
    </row>
    <row r="142" spans="1:5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1">
        <v>1</v>
      </c>
    </row>
    <row r="143" spans="1:5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1">
        <v>1</v>
      </c>
    </row>
    <row r="144" spans="1:5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1">
        <v>1</v>
      </c>
    </row>
    <row r="145" spans="1:5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1">
        <v>1</v>
      </c>
    </row>
    <row r="146" spans="1:5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1">
        <v>1</v>
      </c>
    </row>
    <row r="147" spans="1:5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1">
        <v>1</v>
      </c>
    </row>
    <row r="148" spans="1:5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1">
        <v>1</v>
      </c>
    </row>
    <row r="149" spans="1:5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1">
        <v>1</v>
      </c>
    </row>
    <row r="150" spans="1:5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1">
        <v>1</v>
      </c>
    </row>
    <row r="151" spans="1:5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1">
        <v>1</v>
      </c>
    </row>
    <row r="152" spans="1:5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1">
        <v>1</v>
      </c>
    </row>
    <row r="153" spans="1:5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1">
        <v>1</v>
      </c>
    </row>
    <row r="154" spans="1:5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1">
        <v>1</v>
      </c>
    </row>
    <row r="155" spans="1:5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1">
        <v>1</v>
      </c>
    </row>
    <row r="156" spans="1:5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1">
        <v>1</v>
      </c>
    </row>
    <row r="157" spans="1:5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1">
        <v>1</v>
      </c>
    </row>
    <row r="158" spans="1:5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1">
        <v>1</v>
      </c>
    </row>
    <row r="159" spans="1:5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1">
        <v>1</v>
      </c>
    </row>
    <row r="160" spans="1:5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1">
        <v>1</v>
      </c>
    </row>
    <row r="161" spans="1:5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1">
        <v>1</v>
      </c>
    </row>
    <row r="162" spans="1:5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1">
        <v>1</v>
      </c>
    </row>
    <row r="163" spans="1:5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1">
        <v>1</v>
      </c>
    </row>
    <row r="164" spans="1:5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1">
        <v>1</v>
      </c>
    </row>
    <row r="165" spans="1:5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1">
        <v>1</v>
      </c>
    </row>
    <row r="166" spans="1:5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1">
        <v>1</v>
      </c>
    </row>
    <row r="167" spans="1:5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1">
        <v>1</v>
      </c>
    </row>
    <row r="168" spans="1:5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1">
        <v>1</v>
      </c>
    </row>
    <row r="169" spans="1:5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1">
        <v>1</v>
      </c>
    </row>
    <row r="170" spans="1:5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1">
        <v>1</v>
      </c>
    </row>
    <row r="171" spans="1:5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1">
        <v>1</v>
      </c>
    </row>
    <row r="172" spans="1:5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1">
        <v>1</v>
      </c>
    </row>
    <row r="173" spans="1:5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1">
        <v>1</v>
      </c>
    </row>
    <row r="174" spans="1:5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1">
        <v>1</v>
      </c>
    </row>
    <row r="175" spans="1:5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1">
        <v>1</v>
      </c>
    </row>
    <row r="176" spans="1:5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1">
        <v>1</v>
      </c>
    </row>
    <row r="177" spans="1:5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1">
        <v>1</v>
      </c>
    </row>
    <row r="178" spans="1:5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1">
        <v>1</v>
      </c>
    </row>
    <row r="179" spans="1:5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1">
        <v>1</v>
      </c>
    </row>
    <row r="180" spans="1:5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1">
        <v>1</v>
      </c>
    </row>
    <row r="181" spans="1:5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1">
        <v>1</v>
      </c>
    </row>
    <row r="182" spans="1:5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1">
        <v>1</v>
      </c>
    </row>
    <row r="183" spans="1:5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1">
        <v>1</v>
      </c>
    </row>
    <row r="184" spans="1:5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1">
        <v>1</v>
      </c>
    </row>
    <row r="185" spans="1:5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1">
        <v>1</v>
      </c>
    </row>
    <row r="186" spans="1:5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1">
        <v>1</v>
      </c>
    </row>
    <row r="187" spans="1:5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1">
        <v>1</v>
      </c>
    </row>
    <row r="188" spans="1:5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1">
        <v>1</v>
      </c>
    </row>
    <row r="189" spans="1:5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1">
        <v>1</v>
      </c>
    </row>
    <row r="190" spans="1:5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1">
        <v>1</v>
      </c>
    </row>
    <row r="191" spans="1:5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1">
        <v>1</v>
      </c>
    </row>
    <row r="192" spans="1:5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1">
        <v>1</v>
      </c>
    </row>
    <row r="193" spans="1:5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1">
        <v>1</v>
      </c>
    </row>
    <row r="194" spans="1:5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1">
        <v>1</v>
      </c>
    </row>
    <row r="195" spans="1:5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1">
        <v>1</v>
      </c>
    </row>
    <row r="196" spans="1:5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1">
        <v>1</v>
      </c>
    </row>
    <row r="197" spans="1:5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1">
        <v>1</v>
      </c>
    </row>
    <row r="198" spans="1:5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1">
        <v>1</v>
      </c>
    </row>
    <row r="199" spans="1:5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1">
        <v>1</v>
      </c>
    </row>
    <row r="200" spans="1:5" ht="15.5" x14ac:dyDescent="0.35">
      <c r="A200" s="4">
        <v>199</v>
      </c>
      <c r="B200" s="17" t="s">
        <v>60</v>
      </c>
      <c r="C200" s="17" t="s">
        <v>61</v>
      </c>
      <c r="D200" s="4">
        <v>2022</v>
      </c>
      <c r="E200" s="1">
        <v>1</v>
      </c>
    </row>
    <row r="201" spans="1:5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1">
        <v>1</v>
      </c>
    </row>
    <row r="202" spans="1:5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1">
        <v>1</v>
      </c>
    </row>
    <row r="203" spans="1:5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1">
        <v>1</v>
      </c>
    </row>
    <row r="204" spans="1:5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1">
        <v>1</v>
      </c>
    </row>
    <row r="205" spans="1:5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1">
        <v>1</v>
      </c>
    </row>
    <row r="206" spans="1:5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1">
        <v>1</v>
      </c>
    </row>
    <row r="207" spans="1:5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1">
        <v>1</v>
      </c>
    </row>
    <row r="208" spans="1:5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1">
        <v>1</v>
      </c>
    </row>
    <row r="209" spans="1:5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1">
        <v>1</v>
      </c>
    </row>
    <row r="210" spans="1:5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1">
        <v>1</v>
      </c>
    </row>
    <row r="211" spans="1:5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1">
        <v>1</v>
      </c>
    </row>
    <row r="212" spans="1:5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1">
        <v>1</v>
      </c>
    </row>
    <row r="213" spans="1:5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1">
        <v>1</v>
      </c>
    </row>
    <row r="214" spans="1:5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1">
        <v>1</v>
      </c>
    </row>
    <row r="215" spans="1:5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1">
        <v>1</v>
      </c>
    </row>
    <row r="216" spans="1:5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1">
        <v>1</v>
      </c>
    </row>
    <row r="217" spans="1:5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1">
        <v>1</v>
      </c>
    </row>
    <row r="218" spans="1:5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1">
        <v>1</v>
      </c>
    </row>
    <row r="219" spans="1:5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1">
        <v>1</v>
      </c>
    </row>
    <row r="220" spans="1:5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1">
        <v>1</v>
      </c>
    </row>
    <row r="221" spans="1:5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1">
        <v>1</v>
      </c>
    </row>
    <row r="222" spans="1:5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1">
        <v>1</v>
      </c>
    </row>
    <row r="223" spans="1:5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1">
        <v>1</v>
      </c>
    </row>
    <row r="224" spans="1:5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1">
        <v>1</v>
      </c>
    </row>
    <row r="225" spans="1:5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1">
        <v>1</v>
      </c>
    </row>
    <row r="226" spans="1:5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1">
        <v>1</v>
      </c>
    </row>
    <row r="227" spans="1:5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1">
        <v>1</v>
      </c>
    </row>
    <row r="228" spans="1:5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1">
        <v>1</v>
      </c>
    </row>
    <row r="229" spans="1:5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1">
        <v>1</v>
      </c>
    </row>
    <row r="230" spans="1:5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1">
        <v>1</v>
      </c>
    </row>
    <row r="231" spans="1:5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1">
        <v>1</v>
      </c>
    </row>
    <row r="232" spans="1:5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1">
        <v>1</v>
      </c>
    </row>
    <row r="233" spans="1:5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1">
        <v>1</v>
      </c>
    </row>
    <row r="234" spans="1:5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1">
        <v>1</v>
      </c>
    </row>
    <row r="235" spans="1:5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1">
        <v>1</v>
      </c>
    </row>
    <row r="236" spans="1:5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1">
        <v>1</v>
      </c>
    </row>
    <row r="237" spans="1:5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1">
        <v>1</v>
      </c>
    </row>
    <row r="238" spans="1:5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1">
        <v>1</v>
      </c>
    </row>
    <row r="239" spans="1:5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1">
        <v>1</v>
      </c>
    </row>
    <row r="240" spans="1:5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1">
        <v>1</v>
      </c>
    </row>
    <row r="241" spans="1:5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1">
        <v>1</v>
      </c>
    </row>
    <row r="242" spans="1:5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1">
        <v>1</v>
      </c>
    </row>
    <row r="243" spans="1:5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1">
        <v>1</v>
      </c>
    </row>
    <row r="244" spans="1:5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1">
        <v>1</v>
      </c>
    </row>
    <row r="245" spans="1:5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1">
        <v>1</v>
      </c>
    </row>
    <row r="246" spans="1:5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1">
        <v>1</v>
      </c>
    </row>
    <row r="247" spans="1:5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1">
        <v>1</v>
      </c>
    </row>
    <row r="248" spans="1:5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1">
        <v>1</v>
      </c>
    </row>
    <row r="249" spans="1:5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1">
        <v>1</v>
      </c>
    </row>
    <row r="250" spans="1:5" ht="15.5" x14ac:dyDescent="0.35">
      <c r="A250" s="4">
        <v>249</v>
      </c>
      <c r="B250" s="17"/>
      <c r="C250" s="17"/>
      <c r="D250" s="4"/>
      <c r="E250" s="1"/>
    </row>
    <row r="251" spans="1:5" ht="15.5" x14ac:dyDescent="0.35">
      <c r="A251" s="4">
        <v>250</v>
      </c>
      <c r="B251" s="17"/>
      <c r="C251" s="17"/>
      <c r="D251" s="4"/>
      <c r="E251" s="1"/>
    </row>
    <row r="252" spans="1:5" ht="15.5" x14ac:dyDescent="0.35">
      <c r="A252" s="4">
        <v>251</v>
      </c>
      <c r="B252" s="17"/>
      <c r="C252" s="17"/>
      <c r="D252" s="4"/>
      <c r="E252" s="1"/>
    </row>
    <row r="253" spans="1:5" ht="15.5" x14ac:dyDescent="0.35">
      <c r="A253" s="4">
        <v>252</v>
      </c>
      <c r="B253" s="17"/>
      <c r="C253" s="17"/>
      <c r="D253" s="4"/>
      <c r="E253" s="1"/>
    </row>
    <row r="254" spans="1:5" ht="15.5" x14ac:dyDescent="0.35">
      <c r="A254" s="4">
        <v>253</v>
      </c>
      <c r="B254" s="17"/>
      <c r="C254" s="17"/>
      <c r="D254" s="4"/>
      <c r="E254" s="1"/>
    </row>
    <row r="255" spans="1:5" ht="15.5" x14ac:dyDescent="0.35">
      <c r="A255" s="4">
        <v>254</v>
      </c>
      <c r="B255" s="17"/>
      <c r="C255" s="17"/>
      <c r="D255" s="4"/>
      <c r="E255" s="1"/>
    </row>
    <row r="256" spans="1:5" ht="15.5" x14ac:dyDescent="0.35">
      <c r="A256" s="4">
        <v>255</v>
      </c>
      <c r="B256" s="17"/>
      <c r="C256" s="17"/>
      <c r="D256" s="4"/>
      <c r="E256" s="1"/>
    </row>
    <row r="257" spans="1:5" ht="15.5" x14ac:dyDescent="0.35">
      <c r="A257" s="4">
        <v>256</v>
      </c>
      <c r="B257" s="51"/>
      <c r="C257" s="51"/>
      <c r="D257" s="50"/>
      <c r="E257" s="1"/>
    </row>
    <row r="258" spans="1:5" ht="15.5" x14ac:dyDescent="0.35">
      <c r="A258" s="4"/>
      <c r="B258" s="17"/>
      <c r="C258" s="17"/>
      <c r="D258" s="4"/>
      <c r="E258" s="1"/>
    </row>
    <row r="259" spans="1:5" ht="15.5" x14ac:dyDescent="0.35">
      <c r="A259" s="4"/>
      <c r="B259" s="17"/>
      <c r="C259" s="17"/>
      <c r="D259" s="4"/>
      <c r="E259" s="1"/>
    </row>
    <row r="260" spans="1:5" ht="15.5" x14ac:dyDescent="0.35">
      <c r="A260" s="4"/>
      <c r="B260" s="17"/>
      <c r="C260" s="17"/>
      <c r="D260" s="4"/>
      <c r="E260" s="1"/>
    </row>
    <row r="261" spans="1:5" ht="15.5" x14ac:dyDescent="0.35">
      <c r="A261" s="4"/>
      <c r="B261" s="17"/>
      <c r="C261" s="17"/>
      <c r="D261" s="4"/>
      <c r="E261" s="1"/>
    </row>
    <row r="262" spans="1:5" ht="15.5" x14ac:dyDescent="0.35">
      <c r="A262" s="4"/>
      <c r="B262" s="17"/>
      <c r="C262" s="17"/>
      <c r="D262" s="4"/>
      <c r="E262" s="1"/>
    </row>
    <row r="263" spans="1:5" ht="15.5" x14ac:dyDescent="0.35">
      <c r="A263" s="4"/>
      <c r="B263" s="17"/>
      <c r="C263" s="17"/>
      <c r="D263" s="4"/>
      <c r="E263" s="1"/>
    </row>
    <row r="264" spans="1:5" ht="15.5" x14ac:dyDescent="0.35">
      <c r="A264" s="4"/>
      <c r="B264" s="17"/>
      <c r="C264" s="17"/>
      <c r="D264" s="4"/>
      <c r="E264" s="1"/>
    </row>
    <row r="265" spans="1:5" ht="15.5" x14ac:dyDescent="0.35">
      <c r="A265" s="4"/>
      <c r="B265" s="17"/>
      <c r="C265" s="17"/>
      <c r="D265" s="4"/>
      <c r="E26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65"/>
  <sheetViews>
    <sheetView tabSelected="1" topLeftCell="A141" workbookViewId="0">
      <selection activeCell="D255" sqref="D255"/>
    </sheetView>
  </sheetViews>
  <sheetFormatPr defaultRowHeight="14.5" x14ac:dyDescent="0.35"/>
  <cols>
    <col min="1" max="1" width="9.1796875" style="2"/>
    <col min="2" max="2" width="17.26953125" customWidth="1"/>
    <col min="3" max="3" width="39.1796875" customWidth="1"/>
    <col min="4" max="4" width="13.81640625" customWidth="1"/>
    <col min="10" max="10" width="8.26953125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6</v>
      </c>
      <c r="E1" s="5" t="s">
        <v>18</v>
      </c>
      <c r="F1" s="5" t="s">
        <v>15</v>
      </c>
      <c r="G1" s="5" t="s">
        <v>14</v>
      </c>
      <c r="H1" s="5" t="s">
        <v>21</v>
      </c>
      <c r="I1" s="5" t="s">
        <v>23</v>
      </c>
      <c r="J1" s="5" t="s">
        <v>252</v>
      </c>
    </row>
    <row r="2" spans="1:10" ht="15.5" x14ac:dyDescent="0.35">
      <c r="A2" s="4">
        <v>1</v>
      </c>
      <c r="B2" s="17" t="s">
        <v>26</v>
      </c>
      <c r="C2" s="18" t="s">
        <v>239</v>
      </c>
      <c r="D2" s="4">
        <v>2019</v>
      </c>
      <c r="E2" s="1">
        <f>AUDELAY!G2</f>
        <v>30</v>
      </c>
      <c r="F2" s="9">
        <f>SIZE!F2</f>
        <v>31.971122152544083</v>
      </c>
      <c r="G2" s="9">
        <f>ROA!G2</f>
        <v>1.7943033259732188E-2</v>
      </c>
      <c r="H2" s="9">
        <f>DAR!G2</f>
        <v>0.88026308705865541</v>
      </c>
      <c r="I2" s="1">
        <f>KAP!E2</f>
        <v>0</v>
      </c>
      <c r="J2" s="1">
        <f>OA!E2</f>
        <v>1</v>
      </c>
    </row>
    <row r="3" spans="1:10" ht="15.5" x14ac:dyDescent="0.35">
      <c r="A3" s="4">
        <v>2</v>
      </c>
      <c r="B3" s="17" t="s">
        <v>29</v>
      </c>
      <c r="C3" s="17" t="s">
        <v>30</v>
      </c>
      <c r="D3" s="4">
        <v>2019</v>
      </c>
      <c r="E3" s="1">
        <f>AUDELAY!G3</f>
        <v>56</v>
      </c>
      <c r="F3" s="9">
        <f>SIZE!F3</f>
        <v>23.217914715820399</v>
      </c>
      <c r="G3" s="9">
        <f>ROA!G3</f>
        <v>2.9840864406024122E-2</v>
      </c>
      <c r="H3" s="9">
        <f>DAR!G3</f>
        <v>0.50936888755676279</v>
      </c>
      <c r="I3" s="1">
        <f>KAP!E3</f>
        <v>1</v>
      </c>
      <c r="J3" s="1">
        <f>OA!E3</f>
        <v>1</v>
      </c>
    </row>
    <row r="4" spans="1:10" ht="15.5" x14ac:dyDescent="0.35">
      <c r="A4" s="4">
        <v>3</v>
      </c>
      <c r="B4" s="17" t="s">
        <v>31</v>
      </c>
      <c r="C4" s="17" t="s">
        <v>32</v>
      </c>
      <c r="D4" s="4">
        <v>2019</v>
      </c>
      <c r="E4" s="1">
        <f>AUDELAY!G4</f>
        <v>112</v>
      </c>
      <c r="F4" s="9">
        <f>SIZE!F4</f>
        <v>28.876681779805399</v>
      </c>
      <c r="G4" s="9">
        <f>ROA!G4</f>
        <v>3.8474863534212124E-2</v>
      </c>
      <c r="H4" s="9">
        <f>DAR!G4</f>
        <v>0.72602705432446202</v>
      </c>
      <c r="I4" s="1">
        <f>KAP!E4</f>
        <v>1</v>
      </c>
      <c r="J4" s="1">
        <f>OA!E4</f>
        <v>1</v>
      </c>
    </row>
    <row r="5" spans="1:10" ht="15.5" x14ac:dyDescent="0.35">
      <c r="A5" s="4">
        <v>4</v>
      </c>
      <c r="B5" s="17" t="s">
        <v>33</v>
      </c>
      <c r="C5" s="17" t="s">
        <v>34</v>
      </c>
      <c r="D5" s="4">
        <v>2019</v>
      </c>
      <c r="E5" s="1">
        <f>AUDELAY!G5</f>
        <v>59</v>
      </c>
      <c r="F5" s="9">
        <f>SIZE!F5</f>
        <v>25.641043204049787</v>
      </c>
      <c r="G5" s="9">
        <f>ROA!G5</f>
        <v>4.3536326478786157E-2</v>
      </c>
      <c r="H5" s="9">
        <f>DAR!G5</f>
        <v>8.2292124204363954E-3</v>
      </c>
      <c r="I5" s="1">
        <f>KAP!E5</f>
        <v>0</v>
      </c>
      <c r="J5" s="1">
        <f>OA!E5</f>
        <v>1</v>
      </c>
    </row>
    <row r="6" spans="1:10" ht="15.5" x14ac:dyDescent="0.35">
      <c r="A6" s="4">
        <v>5</v>
      </c>
      <c r="B6" s="17" t="s">
        <v>35</v>
      </c>
      <c r="C6" s="17" t="s">
        <v>36</v>
      </c>
      <c r="D6" s="4">
        <v>2019</v>
      </c>
      <c r="E6" s="1">
        <f>AUDELAY!G6</f>
        <v>70</v>
      </c>
      <c r="F6" s="9">
        <f>SIZE!F6</f>
        <v>28.51631890747538</v>
      </c>
      <c r="G6" s="9">
        <f>ROA!G6</f>
        <v>3.3008352539873304E-2</v>
      </c>
      <c r="H6" s="9">
        <f>DAR!G6</f>
        <v>0.64991145045445919</v>
      </c>
      <c r="I6" s="1">
        <f>KAP!E6</f>
        <v>1</v>
      </c>
      <c r="J6" s="1">
        <f>OA!E6</f>
        <v>1</v>
      </c>
    </row>
    <row r="7" spans="1:10" ht="15.5" x14ac:dyDescent="0.35">
      <c r="A7" s="4">
        <v>6</v>
      </c>
      <c r="B7" s="17" t="s">
        <v>37</v>
      </c>
      <c r="C7" s="17" t="s">
        <v>38</v>
      </c>
      <c r="D7" s="4">
        <v>2019</v>
      </c>
      <c r="E7" s="1">
        <f>AUDELAY!G7</f>
        <v>23</v>
      </c>
      <c r="F7" s="9">
        <f>SIZE!F7</f>
        <v>32.827897979076937</v>
      </c>
      <c r="G7" s="9">
        <f>ROA!G7</f>
        <v>1.6265242693687322E-2</v>
      </c>
      <c r="H7" s="9">
        <f>DAR!G7</f>
        <v>0.84690795049335865</v>
      </c>
      <c r="I7" s="1">
        <f>KAP!E7</f>
        <v>1</v>
      </c>
      <c r="J7" s="1">
        <f>OA!E7</f>
        <v>1</v>
      </c>
    </row>
    <row r="8" spans="1:10" ht="15.5" x14ac:dyDescent="0.35">
      <c r="A8" s="4">
        <v>7</v>
      </c>
      <c r="B8" s="17" t="s">
        <v>39</v>
      </c>
      <c r="C8" s="17" t="s">
        <v>40</v>
      </c>
      <c r="D8" s="4">
        <v>2019</v>
      </c>
      <c r="E8" s="1">
        <f>AUDELAY!G8</f>
        <v>131</v>
      </c>
      <c r="F8" s="9">
        <f>SIZE!F8</f>
        <v>30.207252970590147</v>
      </c>
      <c r="G8" s="9">
        <f>ROA!G8</f>
        <v>3.4830948507864955E-3</v>
      </c>
      <c r="H8" s="9">
        <f>DAR!G8</f>
        <v>0.8886163403043148</v>
      </c>
      <c r="I8" s="1">
        <f>KAP!E8</f>
        <v>0</v>
      </c>
      <c r="J8" s="1">
        <f>OA!E8</f>
        <v>1</v>
      </c>
    </row>
    <row r="9" spans="1:10" ht="15.5" x14ac:dyDescent="0.35">
      <c r="A9" s="4">
        <v>8</v>
      </c>
      <c r="B9" s="17" t="s">
        <v>43</v>
      </c>
      <c r="C9" s="17" t="s">
        <v>44</v>
      </c>
      <c r="D9" s="4">
        <v>2019</v>
      </c>
      <c r="E9" s="1">
        <f>AUDELAY!G9</f>
        <v>136</v>
      </c>
      <c r="F9" s="9">
        <f>SIZE!F9</f>
        <v>28.578676548912291</v>
      </c>
      <c r="G9" s="9">
        <f>ROA!G9</f>
        <v>3.3928708553114084E-2</v>
      </c>
      <c r="H9" s="9">
        <f>DAR!G9</f>
        <v>0.51400241312402994</v>
      </c>
      <c r="I9" s="1">
        <f>KAP!E9</f>
        <v>0</v>
      </c>
      <c r="J9" s="1">
        <f>OA!E9</f>
        <v>1</v>
      </c>
    </row>
    <row r="10" spans="1:10" ht="15.5" x14ac:dyDescent="0.35">
      <c r="A10" s="4">
        <v>9</v>
      </c>
      <c r="B10" s="17" t="s">
        <v>45</v>
      </c>
      <c r="C10" s="17" t="s">
        <v>235</v>
      </c>
      <c r="D10" s="4">
        <v>2019</v>
      </c>
      <c r="E10" s="1">
        <f>AUDELAY!G10</f>
        <v>24</v>
      </c>
      <c r="F10" s="9">
        <f>SIZE!F10</f>
        <v>31.189702273619009</v>
      </c>
      <c r="G10" s="9">
        <f>ROA!G10</f>
        <v>6.0047835151971048E-2</v>
      </c>
      <c r="H10" s="9">
        <f>DAR!G10</f>
        <v>0.7699453592837604</v>
      </c>
      <c r="I10" s="1">
        <f>KAP!E10</f>
        <v>1</v>
      </c>
      <c r="J10" s="1">
        <f>OA!E10</f>
        <v>1</v>
      </c>
    </row>
    <row r="11" spans="1:10" ht="15.5" x14ac:dyDescent="0.35">
      <c r="A11" s="4">
        <v>10</v>
      </c>
      <c r="B11" s="17" t="s">
        <v>52</v>
      </c>
      <c r="C11" s="17" t="s">
        <v>53</v>
      </c>
      <c r="D11" s="4">
        <v>2019</v>
      </c>
      <c r="E11" s="1">
        <f>AUDELAY!G11</f>
        <v>89</v>
      </c>
      <c r="F11" s="9">
        <f>SIZE!F11</f>
        <v>29.162849936559038</v>
      </c>
      <c r="G11" s="9">
        <f>ROA!G11</f>
        <v>1.5791257179547234E-2</v>
      </c>
      <c r="H11" s="9">
        <f>DAR!G11</f>
        <v>0.5782903626975654</v>
      </c>
      <c r="I11" s="1">
        <f>KAP!E11</f>
        <v>0</v>
      </c>
      <c r="J11" s="1">
        <f>OA!E11</f>
        <v>1</v>
      </c>
    </row>
    <row r="12" spans="1:10" ht="15.5" x14ac:dyDescent="0.35">
      <c r="A12" s="4">
        <v>11</v>
      </c>
      <c r="B12" s="17" t="s">
        <v>54</v>
      </c>
      <c r="C12" s="17" t="s">
        <v>248</v>
      </c>
      <c r="D12" s="4">
        <v>2019</v>
      </c>
      <c r="E12" s="1">
        <f>AUDELAY!G12</f>
        <v>118</v>
      </c>
      <c r="F12" s="9">
        <f>SIZE!F12</f>
        <v>28.926555601320523</v>
      </c>
      <c r="G12" s="9">
        <f>ROA!G12</f>
        <v>2.8168283869618446E-2</v>
      </c>
      <c r="H12" s="9">
        <f>DAR!G12</f>
        <v>0.49771196120780181</v>
      </c>
      <c r="I12" s="1">
        <f>KAP!E12</f>
        <v>0</v>
      </c>
      <c r="J12" s="1">
        <f>OA!E12</f>
        <v>1</v>
      </c>
    </row>
    <row r="13" spans="1:10" ht="15.5" x14ac:dyDescent="0.35">
      <c r="A13" s="4">
        <v>12</v>
      </c>
      <c r="B13" s="17" t="s">
        <v>58</v>
      </c>
      <c r="C13" s="17" t="s">
        <v>59</v>
      </c>
      <c r="D13" s="4">
        <v>2019</v>
      </c>
      <c r="E13" s="1">
        <f>AUDELAY!G13</f>
        <v>87</v>
      </c>
      <c r="F13" s="9">
        <f>SIZE!F13</f>
        <v>27.477311021529275</v>
      </c>
      <c r="G13" s="9">
        <f>ROA!G13</f>
        <v>9.1871336543907171E-3</v>
      </c>
      <c r="H13" s="9">
        <f>DAR!G13</f>
        <v>0.66008338097213137</v>
      </c>
      <c r="I13" s="1">
        <f>KAP!E13</f>
        <v>0</v>
      </c>
      <c r="J13" s="1">
        <f>OA!E13</f>
        <v>1</v>
      </c>
    </row>
    <row r="14" spans="1:10" ht="15.5" x14ac:dyDescent="0.35">
      <c r="A14" s="4">
        <v>13</v>
      </c>
      <c r="B14" s="17" t="s">
        <v>60</v>
      </c>
      <c r="C14" s="17" t="s">
        <v>61</v>
      </c>
      <c r="D14" s="4">
        <v>2019</v>
      </c>
      <c r="E14" s="1">
        <f>AUDELAY!G14</f>
        <v>83</v>
      </c>
      <c r="F14" s="9">
        <f>SIZE!F14</f>
        <v>27.777748961704141</v>
      </c>
      <c r="G14" s="9">
        <f>ROA!G14</f>
        <v>2.4039835350760777E-2</v>
      </c>
      <c r="H14" s="9">
        <f>DAR!G14</f>
        <v>0.711492737563865</v>
      </c>
      <c r="I14" s="1">
        <f>KAP!E14</f>
        <v>1</v>
      </c>
      <c r="J14" s="1">
        <f>OA!E14</f>
        <v>1</v>
      </c>
    </row>
    <row r="15" spans="1:10" ht="15.5" x14ac:dyDescent="0.35">
      <c r="A15" s="4">
        <v>14</v>
      </c>
      <c r="B15" s="17" t="s">
        <v>66</v>
      </c>
      <c r="C15" s="17" t="s">
        <v>67</v>
      </c>
      <c r="D15" s="4">
        <v>2019</v>
      </c>
      <c r="E15" s="1">
        <f>AUDELAY!G15</f>
        <v>37</v>
      </c>
      <c r="F15" s="9">
        <f>SIZE!F15</f>
        <v>34.454295608183962</v>
      </c>
      <c r="G15" s="9">
        <f>ROA!G15</f>
        <v>3.1088472550157363E-2</v>
      </c>
      <c r="H15" s="9">
        <f>DAR!G15</f>
        <v>0.80530547780734152</v>
      </c>
      <c r="I15" s="1">
        <f>KAP!E15</f>
        <v>1</v>
      </c>
      <c r="J15" s="1">
        <f>OA!E15</f>
        <v>1</v>
      </c>
    </row>
    <row r="16" spans="1:10" ht="15.5" x14ac:dyDescent="0.35">
      <c r="A16" s="4">
        <v>15</v>
      </c>
      <c r="B16" s="17" t="s">
        <v>72</v>
      </c>
      <c r="C16" s="17" t="s">
        <v>73</v>
      </c>
      <c r="D16" s="4">
        <v>2019</v>
      </c>
      <c r="E16" s="1">
        <f>AUDELAY!G16</f>
        <v>105</v>
      </c>
      <c r="F16" s="9">
        <f>SIZE!F16</f>
        <v>29.250686944447846</v>
      </c>
      <c r="G16" s="9">
        <f>ROA!G16</f>
        <v>1.1733178234478269E-2</v>
      </c>
      <c r="H16" s="9">
        <f>DAR!G16</f>
        <v>0.76096081840249497</v>
      </c>
      <c r="I16" s="1">
        <f>KAP!E16</f>
        <v>1</v>
      </c>
      <c r="J16" s="1">
        <f>OA!E16</f>
        <v>1</v>
      </c>
    </row>
    <row r="17" spans="1:10" ht="15.5" x14ac:dyDescent="0.35">
      <c r="A17" s="4">
        <v>16</v>
      </c>
      <c r="B17" s="17" t="s">
        <v>74</v>
      </c>
      <c r="C17" s="17" t="s">
        <v>75</v>
      </c>
      <c r="D17" s="4">
        <v>2019</v>
      </c>
      <c r="E17" s="1">
        <f>AUDELAY!G17</f>
        <v>80</v>
      </c>
      <c r="F17" s="9">
        <f>SIZE!F17</f>
        <v>30.188265386475081</v>
      </c>
      <c r="G17" s="9">
        <f>ROA!G17</f>
        <v>1.9191436245851779E-2</v>
      </c>
      <c r="H17" s="9">
        <f>DAR!G17</f>
        <v>0.73020076774744136</v>
      </c>
      <c r="I17" s="1">
        <f>KAP!E17</f>
        <v>0</v>
      </c>
      <c r="J17" s="1">
        <f>OA!E17</f>
        <v>1</v>
      </c>
    </row>
    <row r="18" spans="1:10" ht="15.5" x14ac:dyDescent="0.35">
      <c r="A18" s="4">
        <v>17</v>
      </c>
      <c r="B18" s="17" t="s">
        <v>76</v>
      </c>
      <c r="C18" s="17" t="s">
        <v>77</v>
      </c>
      <c r="D18" s="4">
        <v>2019</v>
      </c>
      <c r="E18" s="1">
        <f>AUDELAY!G18</f>
        <v>20</v>
      </c>
      <c r="F18" s="9">
        <f>SIZE!F18</f>
        <v>34.371073709406005</v>
      </c>
      <c r="G18" s="9">
        <f>ROA!G18</f>
        <v>1.8340216986932275E-2</v>
      </c>
      <c r="H18" s="9">
        <f>DAR!G18</f>
        <v>0.81419725834990364</v>
      </c>
      <c r="I18" s="1">
        <f>KAP!E18</f>
        <v>1</v>
      </c>
      <c r="J18" s="1">
        <f>OA!E18</f>
        <v>1</v>
      </c>
    </row>
    <row r="19" spans="1:10" ht="15.5" x14ac:dyDescent="0.35">
      <c r="A19" s="4">
        <v>18</v>
      </c>
      <c r="B19" s="17" t="s">
        <v>78</v>
      </c>
      <c r="C19" s="17" t="s">
        <v>79</v>
      </c>
      <c r="D19" s="4">
        <v>2019</v>
      </c>
      <c r="E19" s="1">
        <f>AUDELAY!G19</f>
        <v>37</v>
      </c>
      <c r="F19" s="9">
        <f>SIZE!F19</f>
        <v>34.88714815059177</v>
      </c>
      <c r="G19" s="9">
        <f>ROA!G19</f>
        <v>2.4290531337005809E-2</v>
      </c>
      <c r="H19" s="9">
        <f>DAR!G19</f>
        <v>0.83511437274674072</v>
      </c>
      <c r="I19" s="1">
        <f>KAP!E19</f>
        <v>1</v>
      </c>
      <c r="J19" s="1">
        <f>OA!E19</f>
        <v>1</v>
      </c>
    </row>
    <row r="20" spans="1:10" ht="15.5" x14ac:dyDescent="0.35">
      <c r="A20" s="4">
        <v>19</v>
      </c>
      <c r="B20" s="17" t="s">
        <v>80</v>
      </c>
      <c r="C20" s="17" t="s">
        <v>81</v>
      </c>
      <c r="D20" s="4">
        <v>2019</v>
      </c>
      <c r="E20" s="1">
        <f>AUDELAY!G20</f>
        <v>45</v>
      </c>
      <c r="F20" s="9">
        <f>SIZE!F20</f>
        <v>33.373308752920799</v>
      </c>
      <c r="G20" s="9">
        <f>ROA!G20</f>
        <v>6.7119484582093441E-4</v>
      </c>
      <c r="H20" s="9">
        <f>DAR!G20</f>
        <v>0.86424537618299202</v>
      </c>
      <c r="I20" s="1">
        <f>KAP!E20</f>
        <v>1</v>
      </c>
      <c r="J20" s="1">
        <f>OA!E20</f>
        <v>1</v>
      </c>
    </row>
    <row r="21" spans="1:10" ht="15.5" x14ac:dyDescent="0.35">
      <c r="A21" s="4">
        <v>20</v>
      </c>
      <c r="B21" s="17" t="s">
        <v>84</v>
      </c>
      <c r="C21" s="17" t="s">
        <v>85</v>
      </c>
      <c r="D21" s="4">
        <v>2019</v>
      </c>
      <c r="E21" s="1">
        <f>AUDELAY!G21</f>
        <v>86</v>
      </c>
      <c r="F21" s="9">
        <f>SIZE!F21</f>
        <v>30.542556502642583</v>
      </c>
      <c r="G21" s="9">
        <f>ROA!G21</f>
        <v>3.0721775707975058E-3</v>
      </c>
      <c r="H21" s="9">
        <f>DAR!G21</f>
        <v>0.69834226316500869</v>
      </c>
      <c r="I21" s="1">
        <f>KAP!E21</f>
        <v>0</v>
      </c>
      <c r="J21" s="1">
        <f>OA!E21</f>
        <v>1</v>
      </c>
    </row>
    <row r="22" spans="1:10" ht="15.5" x14ac:dyDescent="0.35">
      <c r="A22" s="4">
        <v>21</v>
      </c>
      <c r="B22" s="17" t="s">
        <v>88</v>
      </c>
      <c r="C22" s="17" t="s">
        <v>89</v>
      </c>
      <c r="D22" s="4">
        <v>2019</v>
      </c>
      <c r="E22" s="1">
        <f>AUDELAY!G22</f>
        <v>27</v>
      </c>
      <c r="F22" s="9">
        <f>SIZE!F22</f>
        <v>32.896474168545865</v>
      </c>
      <c r="G22" s="9">
        <f>ROA!G22</f>
        <v>2.1911765670905217E-2</v>
      </c>
      <c r="H22" s="9">
        <f>DAR!G22</f>
        <v>0.76532788016491371</v>
      </c>
      <c r="I22" s="1">
        <f>KAP!E22</f>
        <v>1</v>
      </c>
      <c r="J22" s="1">
        <f>OA!E22</f>
        <v>1</v>
      </c>
    </row>
    <row r="23" spans="1:10" ht="15.5" x14ac:dyDescent="0.35">
      <c r="A23" s="4">
        <v>22</v>
      </c>
      <c r="B23" s="17" t="s">
        <v>92</v>
      </c>
      <c r="C23" s="17" t="s">
        <v>93</v>
      </c>
      <c r="D23" s="4">
        <v>2019</v>
      </c>
      <c r="E23" s="1">
        <f>AUDELAY!G23</f>
        <v>50</v>
      </c>
      <c r="F23" s="9">
        <f>SIZE!F23</f>
        <v>30.580166528756418</v>
      </c>
      <c r="G23" s="9">
        <f>ROA!G23</f>
        <v>3.7281072925812668E-2</v>
      </c>
      <c r="H23" s="9">
        <f>DAR!G23</f>
        <v>0.68149309104056632</v>
      </c>
      <c r="I23" s="1">
        <f>KAP!E23</f>
        <v>0</v>
      </c>
      <c r="J23" s="1">
        <f>OA!E23</f>
        <v>1</v>
      </c>
    </row>
    <row r="24" spans="1:10" ht="15.5" x14ac:dyDescent="0.35">
      <c r="A24" s="4">
        <v>23</v>
      </c>
      <c r="B24" s="17" t="s">
        <v>94</v>
      </c>
      <c r="C24" s="17" t="s">
        <v>95</v>
      </c>
      <c r="D24" s="4">
        <v>2019</v>
      </c>
      <c r="E24" s="1">
        <f>AUDELAY!G24</f>
        <v>96</v>
      </c>
      <c r="F24" s="9">
        <f>SIZE!F24</f>
        <v>29.201664768265335</v>
      </c>
      <c r="G24" s="9">
        <f>ROA!G24</f>
        <v>2.4618779007527015E-3</v>
      </c>
      <c r="H24" s="9">
        <f>DAR!G24</f>
        <v>0.76298109899011235</v>
      </c>
      <c r="I24" s="1">
        <f>KAP!E24</f>
        <v>0</v>
      </c>
      <c r="J24" s="1">
        <f>OA!E24</f>
        <v>1</v>
      </c>
    </row>
    <row r="25" spans="1:10" ht="15.5" x14ac:dyDescent="0.35">
      <c r="A25" s="4">
        <v>24</v>
      </c>
      <c r="B25" s="17" t="s">
        <v>96</v>
      </c>
      <c r="C25" s="17" t="s">
        <v>97</v>
      </c>
      <c r="D25" s="4">
        <v>2019</v>
      </c>
      <c r="E25" s="1">
        <f>AUDELAY!G25</f>
        <v>134</v>
      </c>
      <c r="F25" s="9">
        <f>SIZE!F25</f>
        <v>29.334480314506102</v>
      </c>
      <c r="G25" s="9">
        <f>ROA!G25</f>
        <v>1.5462405758843952E-3</v>
      </c>
      <c r="H25" s="9">
        <f>DAR!G25</f>
        <v>0.75062294027529264</v>
      </c>
      <c r="I25" s="1">
        <f>KAP!E25</f>
        <v>0</v>
      </c>
      <c r="J25" s="1">
        <f>OA!E25</f>
        <v>1</v>
      </c>
    </row>
    <row r="26" spans="1:10" ht="15.5" x14ac:dyDescent="0.35">
      <c r="A26" s="4">
        <v>25</v>
      </c>
      <c r="B26" s="17" t="s">
        <v>98</v>
      </c>
      <c r="C26" s="17" t="s">
        <v>249</v>
      </c>
      <c r="D26" s="4">
        <v>2019</v>
      </c>
      <c r="E26" s="1">
        <f>AUDELAY!G26</f>
        <v>59</v>
      </c>
      <c r="F26" s="9">
        <f>SIZE!F26</f>
        <v>32.447557564425864</v>
      </c>
      <c r="G26" s="9">
        <f>ROA!G26</f>
        <v>1.2664211219109265E-2</v>
      </c>
      <c r="H26" s="9">
        <f>DAR!G26</f>
        <v>0.85740662308364091</v>
      </c>
      <c r="I26" s="1">
        <f>KAP!E26</f>
        <v>0</v>
      </c>
      <c r="J26" s="1">
        <f>OA!E26</f>
        <v>1</v>
      </c>
    </row>
    <row r="27" spans="1:10" ht="15.5" x14ac:dyDescent="0.35">
      <c r="A27" s="4">
        <v>26</v>
      </c>
      <c r="B27" s="17" t="s">
        <v>100</v>
      </c>
      <c r="C27" s="17" t="s">
        <v>101</v>
      </c>
      <c r="D27" s="4">
        <v>2019</v>
      </c>
      <c r="E27" s="1">
        <f>AUDELAY!G27</f>
        <v>50</v>
      </c>
      <c r="F27" s="9">
        <f>SIZE!F27</f>
        <v>29.655158717903134</v>
      </c>
      <c r="G27" s="9">
        <f>ROA!G27</f>
        <v>7.8930155848493371E-3</v>
      </c>
      <c r="H27" s="9">
        <f>DAR!G27</f>
        <v>0.83764864608135281</v>
      </c>
      <c r="I27" s="1">
        <f>KAP!E27</f>
        <v>1</v>
      </c>
      <c r="J27" s="1">
        <f>OA!E27</f>
        <v>1</v>
      </c>
    </row>
    <row r="28" spans="1:10" ht="15.5" x14ac:dyDescent="0.35">
      <c r="A28" s="4">
        <v>27</v>
      </c>
      <c r="B28" s="17" t="s">
        <v>102</v>
      </c>
      <c r="C28" s="17" t="s">
        <v>103</v>
      </c>
      <c r="D28" s="4">
        <v>2019</v>
      </c>
      <c r="E28" s="1">
        <f>AUDELAY!G28</f>
        <v>23</v>
      </c>
      <c r="F28" s="9">
        <f>SIZE!F28</f>
        <v>34.815078714134238</v>
      </c>
      <c r="G28" s="9">
        <f>ROA!G28</f>
        <v>2.1585944329592998E-2</v>
      </c>
      <c r="H28" s="9">
        <f>DAR!G28</f>
        <v>0.77811676980691169</v>
      </c>
      <c r="I28" s="1">
        <f>KAP!E28</f>
        <v>1</v>
      </c>
      <c r="J28" s="1">
        <f>OA!E28</f>
        <v>1</v>
      </c>
    </row>
    <row r="29" spans="1:10" ht="15.5" x14ac:dyDescent="0.35">
      <c r="A29" s="4">
        <v>28</v>
      </c>
      <c r="B29" s="17" t="s">
        <v>104</v>
      </c>
      <c r="C29" s="17" t="s">
        <v>105</v>
      </c>
      <c r="D29" s="4">
        <v>2019</v>
      </c>
      <c r="E29" s="1">
        <f>AUDELAY!G29</f>
        <v>91</v>
      </c>
      <c r="F29" s="9">
        <f>SIZE!F29</f>
        <v>29.660175924280871</v>
      </c>
      <c r="G29" s="9">
        <f>ROA!G29</f>
        <v>6.7258451855640332E-3</v>
      </c>
      <c r="H29" s="9">
        <f>DAR!G29</f>
        <v>0.79972069963916659</v>
      </c>
      <c r="I29" s="1">
        <f>KAP!E29</f>
        <v>1</v>
      </c>
      <c r="J29" s="1">
        <f>OA!E29</f>
        <v>1</v>
      </c>
    </row>
    <row r="30" spans="1:10" ht="15.5" x14ac:dyDescent="0.35">
      <c r="A30" s="4">
        <v>29</v>
      </c>
      <c r="B30" s="17" t="s">
        <v>106</v>
      </c>
      <c r="C30" s="17" t="s">
        <v>107</v>
      </c>
      <c r="D30" s="4">
        <v>2019</v>
      </c>
      <c r="E30" s="1">
        <f>AUDELAY!G30</f>
        <v>48</v>
      </c>
      <c r="F30" s="9">
        <f>SIZE!F30</f>
        <v>33.245852978129257</v>
      </c>
      <c r="G30" s="9">
        <f>ROA!G30</f>
        <v>1.3272750411108281E-2</v>
      </c>
      <c r="H30" s="9">
        <f>DAR!G30</f>
        <v>0.84226107257607119</v>
      </c>
      <c r="I30" s="1">
        <f>KAP!E30</f>
        <v>1</v>
      </c>
      <c r="J30" s="1">
        <f>OA!E30</f>
        <v>1</v>
      </c>
    </row>
    <row r="31" spans="1:10" ht="15.5" x14ac:dyDescent="0.35">
      <c r="A31" s="4">
        <v>30</v>
      </c>
      <c r="B31" s="17" t="s">
        <v>108</v>
      </c>
      <c r="C31" s="17" t="s">
        <v>109</v>
      </c>
      <c r="D31" s="4">
        <v>2019</v>
      </c>
      <c r="E31" s="1">
        <f>AUDELAY!G31</f>
        <v>48</v>
      </c>
      <c r="F31" s="9">
        <f>SIZE!F31</f>
        <v>32.761409829126052</v>
      </c>
      <c r="G31" s="9">
        <f>ROA!G31</f>
        <v>1.1380102876205703E-2</v>
      </c>
      <c r="H31" s="9">
        <f>DAR!G31</f>
        <v>0.84217843999890463</v>
      </c>
      <c r="I31" s="1">
        <f>KAP!E31</f>
        <v>1</v>
      </c>
      <c r="J31" s="1">
        <f>OA!E31</f>
        <v>1</v>
      </c>
    </row>
    <row r="32" spans="1:10" ht="15.5" x14ac:dyDescent="0.35">
      <c r="A32" s="4">
        <v>31</v>
      </c>
      <c r="B32" s="17" t="s">
        <v>110</v>
      </c>
      <c r="C32" s="17" t="s">
        <v>111</v>
      </c>
      <c r="D32" s="4">
        <v>2019</v>
      </c>
      <c r="E32" s="1">
        <f>AUDELAY!G32</f>
        <v>49</v>
      </c>
      <c r="F32" s="9">
        <f>SIZE!F32</f>
        <v>32.715224411182326</v>
      </c>
      <c r="G32" s="9">
        <f>ROA!G32</f>
        <v>9.2933310603666459E-3</v>
      </c>
      <c r="H32" s="9">
        <f>DAR!G32</f>
        <v>0.85111698014073711</v>
      </c>
      <c r="I32" s="1">
        <f>KAP!E32</f>
        <v>1</v>
      </c>
      <c r="J32" s="1">
        <f>OA!E32</f>
        <v>1</v>
      </c>
    </row>
    <row r="33" spans="1:10" ht="15.5" x14ac:dyDescent="0.35">
      <c r="A33" s="4">
        <v>32</v>
      </c>
      <c r="B33" s="17" t="s">
        <v>112</v>
      </c>
      <c r="C33" s="17" t="s">
        <v>113</v>
      </c>
      <c r="D33" s="4">
        <v>2019</v>
      </c>
      <c r="E33" s="1">
        <f>AUDELAY!G33</f>
        <v>65</v>
      </c>
      <c r="F33" s="9">
        <f>SIZE!F33</f>
        <v>28.230750427120597</v>
      </c>
      <c r="G33" s="9">
        <f>ROA!G33</f>
        <v>4.1093696029700394E-2</v>
      </c>
      <c r="H33" s="9">
        <f>DAR!G33</f>
        <v>0.55022215176786038</v>
      </c>
      <c r="I33" s="1">
        <f>KAP!E33</f>
        <v>0</v>
      </c>
      <c r="J33" s="1">
        <f>OA!E33</f>
        <v>1</v>
      </c>
    </row>
    <row r="34" spans="1:10" ht="15.5" x14ac:dyDescent="0.35">
      <c r="A34" s="4">
        <v>33</v>
      </c>
      <c r="B34" s="17" t="s">
        <v>114</v>
      </c>
      <c r="C34" s="17" t="s">
        <v>241</v>
      </c>
      <c r="D34" s="4">
        <v>2019</v>
      </c>
      <c r="E34" s="1">
        <f>AUDELAY!G34</f>
        <v>76</v>
      </c>
      <c r="F34" s="9">
        <f>SIZE!F34</f>
        <v>28.622594411980472</v>
      </c>
      <c r="G34" s="9">
        <f>ROA!G34</f>
        <v>5.7408037676291164E-2</v>
      </c>
      <c r="H34" s="9">
        <f>DAR!G34</f>
        <v>0.54688122018257879</v>
      </c>
      <c r="I34" s="1">
        <f>KAP!E34</f>
        <v>0</v>
      </c>
      <c r="J34" s="1">
        <f>OA!E34</f>
        <v>1</v>
      </c>
    </row>
    <row r="35" spans="1:10" ht="15.5" x14ac:dyDescent="0.35">
      <c r="A35" s="4">
        <v>34</v>
      </c>
      <c r="B35" s="17" t="s">
        <v>120</v>
      </c>
      <c r="C35" s="17" t="s">
        <v>121</v>
      </c>
      <c r="D35" s="4">
        <v>2019</v>
      </c>
      <c r="E35" s="1">
        <f>AUDELAY!G35</f>
        <v>83</v>
      </c>
      <c r="F35" s="9">
        <f>SIZE!F35</f>
        <v>32.833000392053108</v>
      </c>
      <c r="G35" s="9">
        <f>ROA!G35</f>
        <v>1.6475225358216588E-2</v>
      </c>
      <c r="H35" s="9">
        <f>DAR!G35</f>
        <v>0.78515501602324955</v>
      </c>
      <c r="I35" s="1">
        <f>KAP!E35</f>
        <v>1</v>
      </c>
      <c r="J35" s="1">
        <f>OA!E35</f>
        <v>1</v>
      </c>
    </row>
    <row r="36" spans="1:10" ht="15.5" x14ac:dyDescent="0.35">
      <c r="A36" s="4">
        <v>35</v>
      </c>
      <c r="B36" s="17" t="s">
        <v>128</v>
      </c>
      <c r="C36" s="17" t="s">
        <v>129</v>
      </c>
      <c r="D36" s="4">
        <v>2019</v>
      </c>
      <c r="E36" s="1">
        <f>AUDELAY!G36</f>
        <v>148</v>
      </c>
      <c r="F36" s="9">
        <f>SIZE!F36</f>
        <v>30.370850495291311</v>
      </c>
      <c r="G36" s="9">
        <f>ROA!G36</f>
        <v>3.3527032058373277E-2</v>
      </c>
      <c r="H36" s="9">
        <f>DAR!G36</f>
        <v>0.38421136107855164</v>
      </c>
      <c r="I36" s="1">
        <f>KAP!E36</f>
        <v>1</v>
      </c>
      <c r="J36" s="1">
        <f>OA!E36</f>
        <v>1</v>
      </c>
    </row>
    <row r="37" spans="1:10" ht="15.5" x14ac:dyDescent="0.35">
      <c r="A37" s="4">
        <v>36</v>
      </c>
      <c r="B37" s="17" t="s">
        <v>130</v>
      </c>
      <c r="C37" s="17" t="s">
        <v>131</v>
      </c>
      <c r="D37" s="4">
        <v>2019</v>
      </c>
      <c r="E37" s="1">
        <f>AUDELAY!G37</f>
        <v>133</v>
      </c>
      <c r="F37" s="9">
        <f>SIZE!F37</f>
        <v>29.228147957153446</v>
      </c>
      <c r="G37" s="9">
        <f>ROA!G37</f>
        <v>9.7879615827417953E-3</v>
      </c>
      <c r="H37" s="9">
        <f>DAR!G37</f>
        <v>0.6882722236193165</v>
      </c>
      <c r="I37" s="1">
        <f>KAP!E37</f>
        <v>1</v>
      </c>
      <c r="J37" s="1">
        <f>OA!E37</f>
        <v>1</v>
      </c>
    </row>
    <row r="38" spans="1:10" ht="15.5" x14ac:dyDescent="0.35">
      <c r="A38" s="4">
        <v>37</v>
      </c>
      <c r="B38" s="17" t="s">
        <v>140</v>
      </c>
      <c r="C38" s="17" t="s">
        <v>244</v>
      </c>
      <c r="D38" s="4">
        <v>2019</v>
      </c>
      <c r="E38" s="1">
        <f>AUDELAY!G38</f>
        <v>91</v>
      </c>
      <c r="F38" s="9">
        <f>SIZE!F38</f>
        <v>30.569848802249421</v>
      </c>
      <c r="G38" s="9">
        <f>ROA!G38</f>
        <v>4.1795448680098596E-3</v>
      </c>
      <c r="H38" s="9">
        <f>DAR!G38</f>
        <v>0.85207448160983323</v>
      </c>
      <c r="I38" s="1">
        <f>KAP!E38</f>
        <v>1</v>
      </c>
      <c r="J38" s="1">
        <f>OA!E38</f>
        <v>1</v>
      </c>
    </row>
    <row r="39" spans="1:10" ht="15.5" x14ac:dyDescent="0.35">
      <c r="A39" s="4">
        <v>38</v>
      </c>
      <c r="B39" s="17" t="s">
        <v>142</v>
      </c>
      <c r="C39" s="17" t="s">
        <v>143</v>
      </c>
      <c r="D39" s="4">
        <v>2019</v>
      </c>
      <c r="E39" s="1">
        <f>AUDELAY!G39</f>
        <v>134</v>
      </c>
      <c r="F39" s="9">
        <f>SIZE!F39</f>
        <v>32.404730348093885</v>
      </c>
      <c r="G39" s="9">
        <f>ROA!G39</f>
        <v>2.0595704990046929E-2</v>
      </c>
      <c r="H39" s="9">
        <f>DAR!G39</f>
        <v>0.83886907020398316</v>
      </c>
      <c r="I39" s="1">
        <f>KAP!E39</f>
        <v>0</v>
      </c>
      <c r="J39" s="1">
        <f>OA!E39</f>
        <v>1</v>
      </c>
    </row>
    <row r="40" spans="1:10" ht="15.5" x14ac:dyDescent="0.35">
      <c r="A40" s="4">
        <v>39</v>
      </c>
      <c r="B40" s="17" t="s">
        <v>144</v>
      </c>
      <c r="C40" s="17" t="s">
        <v>145</v>
      </c>
      <c r="D40" s="4">
        <v>2019</v>
      </c>
      <c r="E40" s="1">
        <f>AUDELAY!G40</f>
        <v>77</v>
      </c>
      <c r="F40" s="9">
        <f>SIZE!F40</f>
        <v>29.18413287985851</v>
      </c>
      <c r="G40" s="9">
        <f>ROA!G40</f>
        <v>7.9786651048611615E-2</v>
      </c>
      <c r="H40" s="9">
        <f>DAR!G40</f>
        <v>0.51802353456954642</v>
      </c>
      <c r="I40" s="1">
        <f>KAP!E40</f>
        <v>1</v>
      </c>
      <c r="J40" s="1">
        <f>OA!E40</f>
        <v>1</v>
      </c>
    </row>
    <row r="41" spans="1:10" ht="15.5" x14ac:dyDescent="0.35">
      <c r="A41" s="4">
        <v>40</v>
      </c>
      <c r="B41" s="17" t="s">
        <v>154</v>
      </c>
      <c r="C41" s="17" t="s">
        <v>155</v>
      </c>
      <c r="D41" s="4">
        <v>2019</v>
      </c>
      <c r="E41" s="1">
        <f>AUDELAY!G41</f>
        <v>45</v>
      </c>
      <c r="F41" s="9">
        <f>SIZE!F41</f>
        <v>28.478133180445052</v>
      </c>
      <c r="G41" s="9">
        <f>ROA!G41</f>
        <v>5.524422600189758E-2</v>
      </c>
      <c r="H41" s="9">
        <f>DAR!G41</f>
        <v>0.41976159062141377</v>
      </c>
      <c r="I41" s="1">
        <f>KAP!E41</f>
        <v>0</v>
      </c>
      <c r="J41" s="1">
        <f>OA!E41</f>
        <v>1</v>
      </c>
    </row>
    <row r="42" spans="1:10" ht="15.5" x14ac:dyDescent="0.35">
      <c r="A42" s="4">
        <v>41</v>
      </c>
      <c r="B42" s="17" t="s">
        <v>160</v>
      </c>
      <c r="C42" s="17" t="s">
        <v>161</v>
      </c>
      <c r="D42" s="4">
        <v>2019</v>
      </c>
      <c r="E42" s="1">
        <f>AUDELAY!G42</f>
        <v>56</v>
      </c>
      <c r="F42" s="9">
        <f>SIZE!F42</f>
        <v>32.984240265929259</v>
      </c>
      <c r="G42" s="9">
        <f>ROA!G42</f>
        <v>1.6557066331035309E-2</v>
      </c>
      <c r="H42" s="9">
        <f>DAR!G42</f>
        <v>0.78966223111206313</v>
      </c>
      <c r="I42" s="1">
        <f>KAP!E42</f>
        <v>1</v>
      </c>
      <c r="J42" s="1">
        <f>OA!E42</f>
        <v>1</v>
      </c>
    </row>
    <row r="43" spans="1:10" ht="15.5" x14ac:dyDescent="0.35">
      <c r="A43" s="4">
        <v>42</v>
      </c>
      <c r="B43" s="17" t="s">
        <v>164</v>
      </c>
      <c r="C43" s="17" t="s">
        <v>165</v>
      </c>
      <c r="D43" s="4">
        <v>2019</v>
      </c>
      <c r="E43" s="1">
        <f>AUDELAY!G43</f>
        <v>114</v>
      </c>
      <c r="F43" s="9">
        <f>SIZE!F43</f>
        <v>31.104375859015878</v>
      </c>
      <c r="G43" s="9">
        <f>ROA!G43</f>
        <v>7.1099144437042031E-2</v>
      </c>
      <c r="H43" s="9">
        <f>DAR!G43</f>
        <v>0.1350481290991577</v>
      </c>
      <c r="I43" s="1">
        <f>KAP!E43</f>
        <v>0</v>
      </c>
      <c r="J43" s="1">
        <f>OA!E43</f>
        <v>1</v>
      </c>
    </row>
    <row r="44" spans="1:10" ht="15.5" x14ac:dyDescent="0.35">
      <c r="A44" s="4">
        <v>43</v>
      </c>
      <c r="B44" s="17" t="s">
        <v>166</v>
      </c>
      <c r="C44" s="17" t="s">
        <v>167</v>
      </c>
      <c r="D44" s="4">
        <v>2019</v>
      </c>
      <c r="E44" s="1">
        <f>AUDELAY!G44</f>
        <v>113</v>
      </c>
      <c r="F44" s="9">
        <f>SIZE!F44</f>
        <v>31.041818470045833</v>
      </c>
      <c r="G44" s="9">
        <f>ROA!G44</f>
        <v>7.0893315566053397E-2</v>
      </c>
      <c r="H44" s="9">
        <f>DAR!G44</f>
        <v>0.1450805902767392</v>
      </c>
      <c r="I44" s="1">
        <f>KAP!E44</f>
        <v>0</v>
      </c>
      <c r="J44" s="1">
        <f>OA!E44</f>
        <v>1</v>
      </c>
    </row>
    <row r="45" spans="1:10" ht="15.5" x14ac:dyDescent="0.35">
      <c r="A45" s="4">
        <v>44</v>
      </c>
      <c r="B45" s="17" t="s">
        <v>170</v>
      </c>
      <c r="C45" s="17" t="s">
        <v>245</v>
      </c>
      <c r="D45" s="4">
        <v>2019</v>
      </c>
      <c r="E45" s="1">
        <f>AUDELAY!G45</f>
        <v>62</v>
      </c>
      <c r="F45" s="9">
        <f>SIZE!F45</f>
        <v>31.240214894458738</v>
      </c>
      <c r="G45" s="9">
        <f>ROA!G45</f>
        <v>1.3531174324028783E-2</v>
      </c>
      <c r="H45" s="9">
        <f>DAR!G45</f>
        <v>0.81222815670952297</v>
      </c>
      <c r="I45" s="1">
        <f>KAP!E45</f>
        <v>1</v>
      </c>
      <c r="J45" s="1">
        <f>OA!E45</f>
        <v>1</v>
      </c>
    </row>
    <row r="46" spans="1:10" ht="15.5" x14ac:dyDescent="0.35">
      <c r="A46" s="4">
        <v>45</v>
      </c>
      <c r="B46" s="17" t="s">
        <v>172</v>
      </c>
      <c r="C46" s="17" t="s">
        <v>173</v>
      </c>
      <c r="D46" s="4">
        <v>2019</v>
      </c>
      <c r="E46" s="1">
        <f>AUDELAY!G46</f>
        <v>62</v>
      </c>
      <c r="F46" s="9">
        <f>SIZE!F46</f>
        <v>30.914092515634959</v>
      </c>
      <c r="G46" s="9">
        <f>ROA!G46</f>
        <v>0.27549889012568796</v>
      </c>
      <c r="H46" s="9">
        <f>DAR!G46</f>
        <v>0.14567587543673882</v>
      </c>
      <c r="I46" s="1">
        <f>KAP!E46</f>
        <v>1</v>
      </c>
      <c r="J46" s="1">
        <f>OA!E46</f>
        <v>1</v>
      </c>
    </row>
    <row r="47" spans="1:10" ht="15.5" x14ac:dyDescent="0.35">
      <c r="A47" s="4">
        <v>46</v>
      </c>
      <c r="B47" s="17" t="s">
        <v>174</v>
      </c>
      <c r="C47" s="17" t="s">
        <v>175</v>
      </c>
      <c r="D47" s="4">
        <v>2019</v>
      </c>
      <c r="E47" s="1">
        <f>AUDELAY!G47</f>
        <v>91</v>
      </c>
      <c r="F47" s="9">
        <f>SIZE!F47</f>
        <v>28.746345181701543</v>
      </c>
      <c r="G47" s="9">
        <f>ROA!G47</f>
        <v>2.1265446443445763E-2</v>
      </c>
      <c r="H47" s="9">
        <f>DAR!G47</f>
        <v>0.71892980677690099</v>
      </c>
      <c r="I47" s="1">
        <f>KAP!E47</f>
        <v>1</v>
      </c>
      <c r="J47" s="1">
        <f>OA!E47</f>
        <v>1</v>
      </c>
    </row>
    <row r="48" spans="1:10" ht="15.5" x14ac:dyDescent="0.35">
      <c r="A48" s="4">
        <v>47</v>
      </c>
      <c r="B48" s="17" t="s">
        <v>176</v>
      </c>
      <c r="C48" s="17" t="s">
        <v>177</v>
      </c>
      <c r="D48" s="4">
        <v>2019</v>
      </c>
      <c r="E48" s="1">
        <f>AUDELAY!G48</f>
        <v>99</v>
      </c>
      <c r="F48" s="9">
        <f>SIZE!F48</f>
        <v>26.473438773391223</v>
      </c>
      <c r="G48" s="9">
        <f>ROA!G48</f>
        <v>5.4082006078060109E-2</v>
      </c>
      <c r="H48" s="9">
        <f>DAR!G48</f>
        <v>9.4868653439195538E-2</v>
      </c>
      <c r="I48" s="1">
        <f>KAP!E48</f>
        <v>0</v>
      </c>
      <c r="J48" s="1">
        <f>OA!E48</f>
        <v>1</v>
      </c>
    </row>
    <row r="49" spans="1:10" ht="15.5" x14ac:dyDescent="0.35">
      <c r="A49" s="4">
        <v>48</v>
      </c>
      <c r="B49" s="17" t="s">
        <v>184</v>
      </c>
      <c r="C49" s="17" t="s">
        <v>246</v>
      </c>
      <c r="D49" s="4">
        <v>2019</v>
      </c>
      <c r="E49" s="1">
        <f>AUDELAY!G49</f>
        <v>48</v>
      </c>
      <c r="F49" s="9">
        <f>SIZE!F49</f>
        <v>29.743797090169082</v>
      </c>
      <c r="G49" s="9">
        <f>ROA!G49</f>
        <v>3.1394711993587364E-2</v>
      </c>
      <c r="H49" s="9">
        <f>DAR!G49</f>
        <v>0.83429466447914868</v>
      </c>
      <c r="I49" s="1">
        <f>KAP!E49</f>
        <v>1</v>
      </c>
      <c r="J49" s="1">
        <f>OA!E49</f>
        <v>1</v>
      </c>
    </row>
    <row r="50" spans="1:10" ht="15.5" x14ac:dyDescent="0.35">
      <c r="A50" s="4">
        <v>49</v>
      </c>
      <c r="B50" s="17" t="s">
        <v>188</v>
      </c>
      <c r="C50" s="17" t="s">
        <v>189</v>
      </c>
      <c r="D50" s="4">
        <v>2019</v>
      </c>
      <c r="E50" s="1">
        <f>AUDELAY!G50</f>
        <v>147</v>
      </c>
      <c r="F50" s="9">
        <f>SIZE!F50</f>
        <v>31.214018807447964</v>
      </c>
      <c r="G50" s="9">
        <f>ROA!G50</f>
        <v>4.1051948181885893E-4</v>
      </c>
      <c r="H50" s="9">
        <f>DAR!G50</f>
        <v>0.72721231953095555</v>
      </c>
      <c r="I50" s="1">
        <f>KAP!E50</f>
        <v>0</v>
      </c>
      <c r="J50" s="1">
        <f>OA!E50</f>
        <v>1</v>
      </c>
    </row>
    <row r="51" spans="1:10" ht="15.5" x14ac:dyDescent="0.35">
      <c r="A51" s="4">
        <v>50</v>
      </c>
      <c r="B51" s="17" t="s">
        <v>190</v>
      </c>
      <c r="C51" s="17" t="s">
        <v>191</v>
      </c>
      <c r="D51" s="4">
        <v>2019</v>
      </c>
      <c r="E51" s="1">
        <f>AUDELAY!G51</f>
        <v>34</v>
      </c>
      <c r="F51" s="9">
        <f>SIZE!F51</f>
        <v>31.395088929795861</v>
      </c>
      <c r="G51" s="9">
        <f>ROA!G51</f>
        <v>1.7163732210158881E-3</v>
      </c>
      <c r="H51" s="9">
        <f>DAR!G51</f>
        <v>0.27548875452746308</v>
      </c>
      <c r="I51" s="1">
        <f>KAP!E51</f>
        <v>1</v>
      </c>
      <c r="J51" s="1">
        <f>OA!E51</f>
        <v>1</v>
      </c>
    </row>
    <row r="52" spans="1:10" ht="15.5" x14ac:dyDescent="0.35">
      <c r="A52" s="4">
        <v>51</v>
      </c>
      <c r="B52" s="17" t="s">
        <v>198</v>
      </c>
      <c r="C52" s="17" t="s">
        <v>199</v>
      </c>
      <c r="D52" s="4">
        <v>2019</v>
      </c>
      <c r="E52" s="1">
        <f>AUDELAY!G52</f>
        <v>126</v>
      </c>
      <c r="F52" s="9">
        <f>SIZE!F52</f>
        <v>30.364286589758489</v>
      </c>
      <c r="G52" s="9">
        <f>ROA!G52</f>
        <v>9.0985538747287764E-2</v>
      </c>
      <c r="H52" s="9">
        <f>DAR!G52</f>
        <v>0.15855476662022158</v>
      </c>
      <c r="I52" s="1">
        <f>KAP!E52</f>
        <v>1</v>
      </c>
      <c r="J52" s="1">
        <f>OA!E52</f>
        <v>1</v>
      </c>
    </row>
    <row r="53" spans="1:10" ht="15.5" x14ac:dyDescent="0.35">
      <c r="A53" s="4">
        <v>52</v>
      </c>
      <c r="B53" s="17" t="s">
        <v>200</v>
      </c>
      <c r="C53" s="17" t="s">
        <v>201</v>
      </c>
      <c r="D53" s="4">
        <v>2019</v>
      </c>
      <c r="E53" s="1">
        <f>AUDELAY!G53</f>
        <v>135</v>
      </c>
      <c r="F53" s="9">
        <f>SIZE!F53</f>
        <v>30.662820415324038</v>
      </c>
      <c r="G53" s="9">
        <f>ROA!G53</f>
        <v>2.4391706877840879E-2</v>
      </c>
      <c r="H53" s="9">
        <f>DAR!G53</f>
        <v>0.60080704256425288</v>
      </c>
      <c r="I53" s="1">
        <f>KAP!E53</f>
        <v>1</v>
      </c>
      <c r="J53" s="1">
        <f>OA!E53</f>
        <v>1</v>
      </c>
    </row>
    <row r="54" spans="1:10" ht="15.5" x14ac:dyDescent="0.35">
      <c r="A54" s="4">
        <v>53</v>
      </c>
      <c r="B54" s="17" t="s">
        <v>206</v>
      </c>
      <c r="C54" s="17" t="s">
        <v>207</v>
      </c>
      <c r="D54" s="4">
        <v>2019</v>
      </c>
      <c r="E54" s="1">
        <f>AUDELAY!G54</f>
        <v>24</v>
      </c>
      <c r="F54" s="9">
        <f>SIZE!F54</f>
        <v>25.391868295026047</v>
      </c>
      <c r="G54" s="9">
        <f>ROA!G54</f>
        <v>0.44847077159181847</v>
      </c>
      <c r="H54" s="9">
        <f>DAR!G54</f>
        <v>0.54532205651129484</v>
      </c>
      <c r="I54" s="1">
        <f>KAP!E54</f>
        <v>0</v>
      </c>
      <c r="J54" s="1">
        <f>OA!E54</f>
        <v>1</v>
      </c>
    </row>
    <row r="55" spans="1:10" ht="15.5" x14ac:dyDescent="0.35">
      <c r="A55" s="4">
        <v>54</v>
      </c>
      <c r="B55" s="17" t="s">
        <v>208</v>
      </c>
      <c r="C55" s="17" t="s">
        <v>209</v>
      </c>
      <c r="D55" s="4">
        <v>2019</v>
      </c>
      <c r="E55" s="1">
        <f>AUDELAY!G55</f>
        <v>198</v>
      </c>
      <c r="F55" s="9">
        <f>SIZE!F55</f>
        <v>27.583654291359299</v>
      </c>
      <c r="G55" s="9">
        <f>ROA!G55</f>
        <v>2.3341644654240726E-2</v>
      </c>
      <c r="H55" s="9">
        <f>DAR!G55</f>
        <v>0.47423681137252682</v>
      </c>
      <c r="I55" s="1">
        <f>KAP!E55</f>
        <v>0</v>
      </c>
      <c r="J55" s="1">
        <f>OA!E55</f>
        <v>1</v>
      </c>
    </row>
    <row r="56" spans="1:10" ht="15.5" x14ac:dyDescent="0.35">
      <c r="A56" s="4">
        <v>55</v>
      </c>
      <c r="B56" s="17" t="s">
        <v>218</v>
      </c>
      <c r="C56" s="17" t="s">
        <v>219</v>
      </c>
      <c r="D56" s="4">
        <v>2019</v>
      </c>
      <c r="E56" s="1">
        <f>AUDELAY!G56</f>
        <v>90</v>
      </c>
      <c r="F56" s="9">
        <f>SIZE!F56</f>
        <v>26.717245118106067</v>
      </c>
      <c r="G56" s="9">
        <f>ROA!G56</f>
        <v>7.2961200990705527E-3</v>
      </c>
      <c r="H56" s="9">
        <f>DAR!G56</f>
        <v>0.22641740064065644</v>
      </c>
      <c r="I56" s="1">
        <f>KAP!E56</f>
        <v>0</v>
      </c>
      <c r="J56" s="1">
        <f>OA!E56</f>
        <v>1</v>
      </c>
    </row>
    <row r="57" spans="1:10" ht="15.5" x14ac:dyDescent="0.35">
      <c r="A57" s="4">
        <v>56</v>
      </c>
      <c r="B57" s="17" t="s">
        <v>220</v>
      </c>
      <c r="C57" s="17" t="s">
        <v>221</v>
      </c>
      <c r="D57" s="4">
        <v>2019</v>
      </c>
      <c r="E57" s="1">
        <f>AUDELAY!G57</f>
        <v>91</v>
      </c>
      <c r="F57" s="9">
        <f>SIZE!F57</f>
        <v>32.232438268087328</v>
      </c>
      <c r="G57" s="9">
        <f>ROA!G57</f>
        <v>5.0896197154540912E-2</v>
      </c>
      <c r="H57" s="9">
        <f>DAR!G57</f>
        <v>0.77752052187494358</v>
      </c>
      <c r="I57" s="1">
        <f>KAP!E57</f>
        <v>0</v>
      </c>
      <c r="J57" s="1">
        <f>OA!E57</f>
        <v>1</v>
      </c>
    </row>
    <row r="58" spans="1:10" ht="15.5" x14ac:dyDescent="0.35">
      <c r="A58" s="4">
        <v>57</v>
      </c>
      <c r="B58" s="17" t="s">
        <v>222</v>
      </c>
      <c r="C58" s="17" t="s">
        <v>223</v>
      </c>
      <c r="D58" s="4">
        <v>2019</v>
      </c>
      <c r="E58" s="1">
        <f>AUDELAY!G58</f>
        <v>108</v>
      </c>
      <c r="F58" s="9">
        <f>SIZE!F58</f>
        <v>27.085971745206518</v>
      </c>
      <c r="G58" s="9">
        <f>ROA!G58</f>
        <v>3.3650692140843848E-3</v>
      </c>
      <c r="H58" s="9">
        <f>DAR!G58</f>
        <v>0.1548679100980348</v>
      </c>
      <c r="I58" s="1">
        <f>KAP!E58</f>
        <v>0</v>
      </c>
      <c r="J58" s="1">
        <f>OA!E58</f>
        <v>1</v>
      </c>
    </row>
    <row r="59" spans="1:10" ht="15.5" x14ac:dyDescent="0.35">
      <c r="A59" s="4">
        <v>58</v>
      </c>
      <c r="B59" s="17" t="s">
        <v>224</v>
      </c>
      <c r="C59" s="17" t="s">
        <v>225</v>
      </c>
      <c r="D59" s="4">
        <v>2019</v>
      </c>
      <c r="E59" s="1">
        <f>AUDELAY!G59</f>
        <v>72</v>
      </c>
      <c r="F59" s="9">
        <f>SIZE!F59</f>
        <v>27.823347589544575</v>
      </c>
      <c r="G59" s="9">
        <f>ROA!G59</f>
        <v>2.7254188830748316E-2</v>
      </c>
      <c r="H59" s="9">
        <f>DAR!G59</f>
        <v>0.69415071781230164</v>
      </c>
      <c r="I59" s="1">
        <f>KAP!E59</f>
        <v>0</v>
      </c>
      <c r="J59" s="1">
        <f>OA!E59</f>
        <v>1</v>
      </c>
    </row>
    <row r="60" spans="1:10" ht="15.5" x14ac:dyDescent="0.35">
      <c r="A60" s="4">
        <v>59</v>
      </c>
      <c r="B60" s="17" t="s">
        <v>226</v>
      </c>
      <c r="C60" s="17" t="s">
        <v>227</v>
      </c>
      <c r="D60" s="4">
        <v>2019</v>
      </c>
      <c r="E60" s="1">
        <f>AUDELAY!G60</f>
        <v>118</v>
      </c>
      <c r="F60" s="9">
        <f>SIZE!F60</f>
        <v>30.299143089619854</v>
      </c>
      <c r="G60" s="9">
        <f>ROA!G60</f>
        <v>8.1809586032207723E-3</v>
      </c>
      <c r="H60" s="9">
        <f>DAR!G60</f>
        <v>0.8845477126150717</v>
      </c>
      <c r="I60" s="1">
        <f>KAP!E60</f>
        <v>0</v>
      </c>
      <c r="J60" s="1">
        <f>OA!E60</f>
        <v>1</v>
      </c>
    </row>
    <row r="61" spans="1:10" ht="15.5" x14ac:dyDescent="0.35">
      <c r="A61" s="4">
        <v>60</v>
      </c>
      <c r="B61" s="17" t="s">
        <v>228</v>
      </c>
      <c r="C61" s="17" t="s">
        <v>229</v>
      </c>
      <c r="D61" s="4">
        <v>2019</v>
      </c>
      <c r="E61" s="1">
        <f>AUDELAY!G61</f>
        <v>87</v>
      </c>
      <c r="F61" s="9">
        <f>SIZE!F61</f>
        <v>28.067986072977813</v>
      </c>
      <c r="G61" s="9">
        <f>ROA!G61</f>
        <v>4.0612639941848931E-2</v>
      </c>
      <c r="H61" s="9">
        <f>DAR!G61</f>
        <v>0.71363775487738434</v>
      </c>
      <c r="I61" s="1">
        <f>KAP!E61</f>
        <v>0</v>
      </c>
      <c r="J61" s="1">
        <f>OA!E61</f>
        <v>1</v>
      </c>
    </row>
    <row r="62" spans="1:10" ht="15.5" x14ac:dyDescent="0.35">
      <c r="A62" s="4">
        <v>61</v>
      </c>
      <c r="B62" s="17" t="s">
        <v>230</v>
      </c>
      <c r="C62" s="17" t="s">
        <v>231</v>
      </c>
      <c r="D62" s="4">
        <v>2019</v>
      </c>
      <c r="E62" s="1">
        <f>AUDELAY!G62</f>
        <v>77</v>
      </c>
      <c r="F62" s="9">
        <f>SIZE!F62</f>
        <v>29.992618142821328</v>
      </c>
      <c r="G62" s="9">
        <f>ROA!G62</f>
        <v>1.9262097540893896E-3</v>
      </c>
      <c r="H62" s="9">
        <f>DAR!G62</f>
        <v>0.85299134728063919</v>
      </c>
      <c r="I62" s="1">
        <f>KAP!E62</f>
        <v>0</v>
      </c>
      <c r="J62" s="1">
        <f>OA!E62</f>
        <v>1</v>
      </c>
    </row>
    <row r="63" spans="1:10" ht="15.5" x14ac:dyDescent="0.35">
      <c r="A63" s="4">
        <v>62</v>
      </c>
      <c r="B63" s="17" t="s">
        <v>232</v>
      </c>
      <c r="C63" s="17" t="s">
        <v>233</v>
      </c>
      <c r="D63" s="4">
        <v>2019</v>
      </c>
      <c r="E63" s="1">
        <f>AUDELAY!G63</f>
        <v>141</v>
      </c>
      <c r="F63" s="9">
        <f>SIZE!F63</f>
        <v>30.573332675847823</v>
      </c>
      <c r="G63" s="9">
        <f>ROA!G63</f>
        <v>8.3788590299954289E-4</v>
      </c>
      <c r="H63" s="9">
        <f>DAR!G63</f>
        <v>0.91889922699935689</v>
      </c>
      <c r="I63" s="1">
        <f>KAP!E63</f>
        <v>0</v>
      </c>
      <c r="J63" s="1">
        <f>OA!E63</f>
        <v>1</v>
      </c>
    </row>
    <row r="64" spans="1:10" ht="15.5" x14ac:dyDescent="0.35">
      <c r="A64" s="4">
        <v>63</v>
      </c>
      <c r="B64" s="47" t="s">
        <v>26</v>
      </c>
      <c r="C64" s="48" t="s">
        <v>239</v>
      </c>
      <c r="D64" s="41">
        <v>2020</v>
      </c>
      <c r="E64" s="1">
        <f>AUDELAY!G64</f>
        <v>99</v>
      </c>
      <c r="F64" s="9">
        <f>SIZE!F64</f>
        <v>32.057297288379381</v>
      </c>
      <c r="G64" s="9">
        <f>ROA!G64</f>
        <v>1.7806407054664745E-2</v>
      </c>
      <c r="H64" s="9">
        <f>DAR!G64</f>
        <v>0.88035142827771706</v>
      </c>
      <c r="I64" s="1">
        <f>KAP!E64</f>
        <v>0</v>
      </c>
      <c r="J64" s="1">
        <f>OA!E64</f>
        <v>1</v>
      </c>
    </row>
    <row r="65" spans="1:10" ht="15.5" x14ac:dyDescent="0.35">
      <c r="A65" s="4">
        <v>64</v>
      </c>
      <c r="B65" s="17" t="s">
        <v>29</v>
      </c>
      <c r="C65" s="17" t="s">
        <v>30</v>
      </c>
      <c r="D65" s="4">
        <v>2020</v>
      </c>
      <c r="E65" s="1">
        <f>AUDELAY!G65</f>
        <v>88</v>
      </c>
      <c r="F65" s="9">
        <f>SIZE!F65</f>
        <v>23.113628832873996</v>
      </c>
      <c r="G65" s="9">
        <f>ROA!G65</f>
        <v>4.2653436000736605E-3</v>
      </c>
      <c r="H65" s="9">
        <f>DAR!G65</f>
        <v>0.56535755233479013</v>
      </c>
      <c r="I65" s="1">
        <f>KAP!E65</f>
        <v>1</v>
      </c>
      <c r="J65" s="1">
        <f>OA!E65</f>
        <v>1</v>
      </c>
    </row>
    <row r="66" spans="1:10" ht="15.5" x14ac:dyDescent="0.35">
      <c r="A66" s="4">
        <v>65</v>
      </c>
      <c r="B66" s="17" t="s">
        <v>31</v>
      </c>
      <c r="C66" s="17" t="s">
        <v>32</v>
      </c>
      <c r="D66" s="4">
        <v>2020</v>
      </c>
      <c r="E66" s="1">
        <f>AUDELAY!G66</f>
        <v>116</v>
      </c>
      <c r="F66" s="9">
        <f>SIZE!F66</f>
        <v>29.276756434352595</v>
      </c>
      <c r="G66" s="9">
        <f>ROA!G66</f>
        <v>1.4086889402739266E-2</v>
      </c>
      <c r="H66" s="9">
        <f>DAR!G66</f>
        <v>0.80333612288640244</v>
      </c>
      <c r="I66" s="1">
        <f>KAP!E66</f>
        <v>1</v>
      </c>
      <c r="J66" s="1">
        <f>OA!E66</f>
        <v>1</v>
      </c>
    </row>
    <row r="67" spans="1:10" ht="15.5" x14ac:dyDescent="0.35">
      <c r="A67" s="4">
        <v>66</v>
      </c>
      <c r="B67" s="17" t="s">
        <v>33</v>
      </c>
      <c r="C67" s="17" t="s">
        <v>34</v>
      </c>
      <c r="D67" s="4">
        <v>2020</v>
      </c>
      <c r="E67" s="1">
        <f>AUDELAY!G67</f>
        <v>68</v>
      </c>
      <c r="F67" s="9">
        <f>SIZE!F67</f>
        <v>25.674307500099946</v>
      </c>
      <c r="G67" s="9">
        <f>ROA!G67</f>
        <v>3.4657351261014116E-2</v>
      </c>
      <c r="H67" s="9">
        <f>DAR!G67</f>
        <v>8.0580172441023917E-3</v>
      </c>
      <c r="I67" s="1">
        <f>KAP!E67</f>
        <v>0</v>
      </c>
      <c r="J67" s="1">
        <f>OA!E67</f>
        <v>1</v>
      </c>
    </row>
    <row r="68" spans="1:10" ht="15.5" x14ac:dyDescent="0.35">
      <c r="A68" s="4">
        <v>67</v>
      </c>
      <c r="B68" s="17" t="s">
        <v>35</v>
      </c>
      <c r="C68" s="17" t="s">
        <v>36</v>
      </c>
      <c r="D68" s="4">
        <v>2020</v>
      </c>
      <c r="E68" s="1">
        <f>AUDELAY!G68</f>
        <v>84</v>
      </c>
      <c r="F68" s="9">
        <f>SIZE!F68</f>
        <v>28.666188824654281</v>
      </c>
      <c r="G68" s="9">
        <f>ROA!G68</f>
        <v>3.2998010379626179E-2</v>
      </c>
      <c r="H68" s="9">
        <f>DAR!G68</f>
        <v>0.6941731483922684</v>
      </c>
      <c r="I68" s="1">
        <f>KAP!E68</f>
        <v>1</v>
      </c>
      <c r="J68" s="1">
        <f>OA!E68</f>
        <v>1</v>
      </c>
    </row>
    <row r="69" spans="1:10" ht="15.5" x14ac:dyDescent="0.35">
      <c r="A69" s="4">
        <v>68</v>
      </c>
      <c r="B69" s="17" t="s">
        <v>37</v>
      </c>
      <c r="C69" s="17" t="s">
        <v>38</v>
      </c>
      <c r="D69" s="4">
        <v>2020</v>
      </c>
      <c r="E69" s="1">
        <f>AUDELAY!G69</f>
        <v>26</v>
      </c>
      <c r="F69" s="9">
        <f>SIZE!F69</f>
        <v>32.960338963446368</v>
      </c>
      <c r="G69" s="9">
        <f>ROA!G69</f>
        <v>1.0187588585787883E-2</v>
      </c>
      <c r="H69" s="9">
        <f>DAR!G69</f>
        <v>0.85540610342748225</v>
      </c>
      <c r="I69" s="1">
        <f>KAP!E69</f>
        <v>1</v>
      </c>
      <c r="J69" s="1">
        <f>OA!E69</f>
        <v>1</v>
      </c>
    </row>
    <row r="70" spans="1:10" ht="15.5" x14ac:dyDescent="0.35">
      <c r="A70" s="4">
        <v>69</v>
      </c>
      <c r="B70" s="17" t="s">
        <v>39</v>
      </c>
      <c r="C70" s="17" t="s">
        <v>40</v>
      </c>
      <c r="D70" s="4">
        <v>2020</v>
      </c>
      <c r="E70" s="1">
        <f>AUDELAY!G70</f>
        <v>104</v>
      </c>
      <c r="F70" s="9">
        <f>SIZE!F70</f>
        <v>30.251182027515949</v>
      </c>
      <c r="G70" s="9">
        <f>ROA!G70</f>
        <v>3.9021151215313742E-3</v>
      </c>
      <c r="H70" s="9">
        <f>DAR!G70</f>
        <v>0.88936808111030374</v>
      </c>
      <c r="I70" s="1">
        <f>KAP!E70</f>
        <v>0</v>
      </c>
      <c r="J70" s="1">
        <f>OA!E70</f>
        <v>1</v>
      </c>
    </row>
    <row r="71" spans="1:10" ht="15.5" x14ac:dyDescent="0.35">
      <c r="A71" s="4">
        <v>70</v>
      </c>
      <c r="B71" s="17" t="s">
        <v>43</v>
      </c>
      <c r="C71" s="17" t="s">
        <v>44</v>
      </c>
      <c r="D71" s="4">
        <v>2020</v>
      </c>
      <c r="E71" s="1">
        <f>AUDELAY!G71</f>
        <v>119</v>
      </c>
      <c r="F71" s="9">
        <f>SIZE!F71</f>
        <v>28.534380606527417</v>
      </c>
      <c r="G71" s="9">
        <f>ROA!G71</f>
        <v>5.6067348849479316E-2</v>
      </c>
      <c r="H71" s="9">
        <f>DAR!G71</f>
        <v>0.44176668685862613</v>
      </c>
      <c r="I71" s="1">
        <f>KAP!E71</f>
        <v>0</v>
      </c>
      <c r="J71" s="1">
        <f>OA!E71</f>
        <v>1</v>
      </c>
    </row>
    <row r="72" spans="1:10" ht="15.5" x14ac:dyDescent="0.35">
      <c r="A72" s="4">
        <v>71</v>
      </c>
      <c r="B72" s="17" t="s">
        <v>45</v>
      </c>
      <c r="C72" s="17" t="s">
        <v>235</v>
      </c>
      <c r="D72" s="4">
        <v>2020</v>
      </c>
      <c r="E72" s="1">
        <f>AUDELAY!G72</f>
        <v>28</v>
      </c>
      <c r="F72" s="9">
        <f>SIZE!F72</f>
        <v>29.764127942850038</v>
      </c>
      <c r="G72" s="9">
        <f>ROA!G72</f>
        <v>3.3357931376081014E-2</v>
      </c>
      <c r="H72" s="9">
        <f>DAR!G72</f>
        <v>0.47189905617203354</v>
      </c>
      <c r="I72" s="1">
        <f>KAP!E72</f>
        <v>1</v>
      </c>
      <c r="J72" s="1">
        <f>OA!E72</f>
        <v>1</v>
      </c>
    </row>
    <row r="73" spans="1:10" ht="15.5" x14ac:dyDescent="0.35">
      <c r="A73" s="4">
        <v>72</v>
      </c>
      <c r="B73" s="17" t="s">
        <v>52</v>
      </c>
      <c r="C73" s="17" t="s">
        <v>53</v>
      </c>
      <c r="D73" s="4">
        <v>2020</v>
      </c>
      <c r="E73" s="1">
        <f>AUDELAY!G73</f>
        <v>75</v>
      </c>
      <c r="F73" s="9">
        <f>SIZE!F73</f>
        <v>29.186452591678286</v>
      </c>
      <c r="G73" s="9">
        <f>ROA!G73</f>
        <v>2.2640979891140802E-2</v>
      </c>
      <c r="H73" s="9">
        <f>DAR!G73</f>
        <v>0.57645776311083541</v>
      </c>
      <c r="I73" s="1">
        <f>KAP!E73</f>
        <v>0</v>
      </c>
      <c r="J73" s="1">
        <f>OA!E73</f>
        <v>1</v>
      </c>
    </row>
    <row r="74" spans="1:10" ht="15.5" x14ac:dyDescent="0.35">
      <c r="A74" s="4">
        <v>73</v>
      </c>
      <c r="B74" s="17" t="s">
        <v>54</v>
      </c>
      <c r="C74" s="17" t="s">
        <v>55</v>
      </c>
      <c r="D74" s="4">
        <v>2020</v>
      </c>
      <c r="E74" s="1">
        <f>AUDELAY!G74</f>
        <v>147</v>
      </c>
      <c r="F74" s="9">
        <f>SIZE!F74</f>
        <v>29.216558036570476</v>
      </c>
      <c r="G74" s="9">
        <f>ROA!G74</f>
        <v>2.5548658709500884E-2</v>
      </c>
      <c r="H74" s="9">
        <f>DAR!G74</f>
        <v>0.59832831177618828</v>
      </c>
      <c r="I74" s="1">
        <f>KAP!E74</f>
        <v>0</v>
      </c>
      <c r="J74" s="1">
        <f>OA!E74</f>
        <v>1</v>
      </c>
    </row>
    <row r="75" spans="1:10" ht="15.5" x14ac:dyDescent="0.35">
      <c r="A75" s="4">
        <v>74</v>
      </c>
      <c r="B75" s="17" t="s">
        <v>58</v>
      </c>
      <c r="C75" s="17" t="s">
        <v>59</v>
      </c>
      <c r="D75" s="4">
        <v>2020</v>
      </c>
      <c r="E75" s="1">
        <f>AUDELAY!G75</f>
        <v>88</v>
      </c>
      <c r="F75" s="9">
        <f>SIZE!F75</f>
        <v>27.493790527422092</v>
      </c>
      <c r="G75" s="9">
        <f>ROA!G75</f>
        <v>2.7149736950497366E-2</v>
      </c>
      <c r="H75" s="9">
        <f>DAR!G75</f>
        <v>0.64007476162414423</v>
      </c>
      <c r="I75" s="1">
        <f>KAP!E75</f>
        <v>0</v>
      </c>
      <c r="J75" s="1">
        <f>OA!E75</f>
        <v>1</v>
      </c>
    </row>
    <row r="76" spans="1:10" ht="15.5" x14ac:dyDescent="0.35">
      <c r="A76" s="4">
        <v>75</v>
      </c>
      <c r="B76" s="17" t="s">
        <v>60</v>
      </c>
      <c r="C76" s="17" t="s">
        <v>61</v>
      </c>
      <c r="D76" s="4">
        <v>2020</v>
      </c>
      <c r="E76" s="1">
        <f>AUDELAY!G76</f>
        <v>103</v>
      </c>
      <c r="F76" s="9">
        <f>SIZE!F76</f>
        <v>27.4800546240232</v>
      </c>
      <c r="G76" s="9">
        <f>ROA!G76</f>
        <v>3.1172631950170809E-2</v>
      </c>
      <c r="H76" s="9">
        <f>DAR!G76</f>
        <v>0.59098569096743236</v>
      </c>
      <c r="I76" s="1">
        <f>KAP!E76</f>
        <v>1</v>
      </c>
      <c r="J76" s="1">
        <f>OA!E76</f>
        <v>1</v>
      </c>
    </row>
    <row r="77" spans="1:10" ht="15.5" x14ac:dyDescent="0.35">
      <c r="A77" s="4">
        <v>76</v>
      </c>
      <c r="B77" s="17" t="s">
        <v>66</v>
      </c>
      <c r="C77" s="17" t="s">
        <v>67</v>
      </c>
      <c r="D77" s="4">
        <v>2020</v>
      </c>
      <c r="E77" s="1">
        <f>AUDELAY!G77</f>
        <v>29</v>
      </c>
      <c r="F77" s="9">
        <f>SIZE!F77</f>
        <v>34.611627386538146</v>
      </c>
      <c r="G77" s="9">
        <f>ROA!G77</f>
        <v>2.5239735710951085E-2</v>
      </c>
      <c r="H77" s="9">
        <f>DAR!G77</f>
        <v>0.82331945687423325</v>
      </c>
      <c r="I77" s="1">
        <f>KAP!E77</f>
        <v>1</v>
      </c>
      <c r="J77" s="1">
        <f>OA!E77</f>
        <v>1</v>
      </c>
    </row>
    <row r="78" spans="1:10" ht="15.5" x14ac:dyDescent="0.35">
      <c r="A78" s="4">
        <v>77</v>
      </c>
      <c r="B78" s="17" t="s">
        <v>72</v>
      </c>
      <c r="C78" s="17" t="s">
        <v>73</v>
      </c>
      <c r="D78" s="4">
        <v>2020</v>
      </c>
      <c r="E78" s="1">
        <f>AUDELAY!G78</f>
        <v>112</v>
      </c>
      <c r="F78" s="9">
        <f>SIZE!F78</f>
        <v>29.045877423370879</v>
      </c>
      <c r="G78" s="9">
        <f>ROA!G78</f>
        <v>4.8720873588854914E-3</v>
      </c>
      <c r="H78" s="9">
        <f>DAR!G78</f>
        <v>0.70634430664533476</v>
      </c>
      <c r="I78" s="1">
        <f>KAP!E78</f>
        <v>1</v>
      </c>
      <c r="J78" s="1">
        <f>OA!E78</f>
        <v>1</v>
      </c>
    </row>
    <row r="79" spans="1:10" ht="15.5" x14ac:dyDescent="0.35">
      <c r="A79" s="4">
        <v>78</v>
      </c>
      <c r="B79" s="17" t="s">
        <v>74</v>
      </c>
      <c r="C79" s="17" t="s">
        <v>75</v>
      </c>
      <c r="D79" s="4">
        <v>2020</v>
      </c>
      <c r="E79" s="1">
        <f>AUDELAY!G79</f>
        <v>90</v>
      </c>
      <c r="F79" s="9">
        <f>SIZE!F79</f>
        <v>30.281424918206657</v>
      </c>
      <c r="G79" s="9">
        <f>ROA!G79</f>
        <v>2.3018202869435823E-2</v>
      </c>
      <c r="H79" s="9">
        <f>DAR!G79</f>
        <v>0.71685508967503575</v>
      </c>
      <c r="I79" s="1">
        <f>KAP!E79</f>
        <v>0</v>
      </c>
      <c r="J79" s="1">
        <f>OA!E79</f>
        <v>1</v>
      </c>
    </row>
    <row r="80" spans="1:10" ht="15.5" x14ac:dyDescent="0.35">
      <c r="A80" s="4">
        <v>79</v>
      </c>
      <c r="B80" s="17" t="s">
        <v>76</v>
      </c>
      <c r="C80" s="17" t="s">
        <v>77</v>
      </c>
      <c r="D80" s="4">
        <v>2020</v>
      </c>
      <c r="E80" s="1">
        <f>AUDELAY!G80</f>
        <v>22</v>
      </c>
      <c r="F80" s="9">
        <f>SIZE!F80</f>
        <v>34.423744175412914</v>
      </c>
      <c r="G80" s="9">
        <f>ROA!G80</f>
        <v>3.72635761367251E-3</v>
      </c>
      <c r="H80" s="9">
        <f>DAR!G80</f>
        <v>0.83720894250569589</v>
      </c>
      <c r="I80" s="1">
        <f>KAP!E80</f>
        <v>1</v>
      </c>
      <c r="J80" s="1">
        <f>OA!E80</f>
        <v>1</v>
      </c>
    </row>
    <row r="81" spans="1:10" ht="15.5" x14ac:dyDescent="0.35">
      <c r="A81" s="4">
        <v>80</v>
      </c>
      <c r="B81" s="17" t="s">
        <v>78</v>
      </c>
      <c r="C81" s="17" t="s">
        <v>79</v>
      </c>
      <c r="D81" s="4">
        <v>2020</v>
      </c>
      <c r="E81" s="1">
        <f>AUDELAY!G81</f>
        <v>29</v>
      </c>
      <c r="F81" s="9">
        <f>SIZE!F81</f>
        <v>34.952080450033428</v>
      </c>
      <c r="G81" s="9">
        <f>ROA!G81</f>
        <v>1.2343124669942472E-2</v>
      </c>
      <c r="H81" s="9">
        <f>DAR!G81</f>
        <v>0.84557637430383625</v>
      </c>
      <c r="I81" s="1">
        <f>KAP!E81</f>
        <v>1</v>
      </c>
      <c r="J81" s="1">
        <f>OA!E81</f>
        <v>1</v>
      </c>
    </row>
    <row r="82" spans="1:10" ht="15.5" x14ac:dyDescent="0.35">
      <c r="A82" s="4">
        <v>81</v>
      </c>
      <c r="B82" s="17" t="s">
        <v>80</v>
      </c>
      <c r="C82" s="17" t="s">
        <v>81</v>
      </c>
      <c r="D82" s="4">
        <v>2020</v>
      </c>
      <c r="E82" s="1">
        <f>AUDELAY!G82</f>
        <v>41</v>
      </c>
      <c r="F82" s="9">
        <f>SIZE!F82</f>
        <v>33.520476209625826</v>
      </c>
      <c r="G82" s="9">
        <f>ROA!G82</f>
        <v>4.4361038485909434E-3</v>
      </c>
      <c r="H82" s="9">
        <f>DAR!G82</f>
        <v>0.88972498054211946</v>
      </c>
      <c r="I82" s="1">
        <f>KAP!E82</f>
        <v>1</v>
      </c>
      <c r="J82" s="1">
        <f>OA!E82</f>
        <v>1</v>
      </c>
    </row>
    <row r="83" spans="1:10" ht="15.5" x14ac:dyDescent="0.35">
      <c r="A83" s="4">
        <v>82</v>
      </c>
      <c r="B83" s="17" t="s">
        <v>84</v>
      </c>
      <c r="C83" s="17" t="s">
        <v>85</v>
      </c>
      <c r="D83" s="4">
        <v>2020</v>
      </c>
      <c r="E83" s="1">
        <f>AUDELAY!G83</f>
        <v>127</v>
      </c>
      <c r="F83" s="9">
        <f>SIZE!F83</f>
        <v>30.580790390113851</v>
      </c>
      <c r="G83" s="9">
        <f>ROA!G83</f>
        <v>3.4303506114112441E-3</v>
      </c>
      <c r="H83" s="9">
        <f>DAR!G83</f>
        <v>0.73331299990063636</v>
      </c>
      <c r="I83" s="1">
        <f>KAP!E83</f>
        <v>0</v>
      </c>
      <c r="J83" s="1">
        <f>OA!E83</f>
        <v>1</v>
      </c>
    </row>
    <row r="84" spans="1:10" ht="15.5" x14ac:dyDescent="0.35">
      <c r="A84" s="4">
        <v>83</v>
      </c>
      <c r="B84" s="17" t="s">
        <v>88</v>
      </c>
      <c r="C84" s="17" t="s">
        <v>89</v>
      </c>
      <c r="D84" s="4">
        <v>2020</v>
      </c>
      <c r="E84" s="1">
        <f>AUDELAY!G84</f>
        <v>42</v>
      </c>
      <c r="F84" s="9">
        <f>SIZE!F84</f>
        <v>32.933778948996249</v>
      </c>
      <c r="G84" s="9">
        <f>ROA!G84</f>
        <v>5.4205865468670159E-3</v>
      </c>
      <c r="H84" s="9">
        <f>DAR!G84</f>
        <v>0.78308783787160652</v>
      </c>
      <c r="I84" s="1">
        <f>KAP!E84</f>
        <v>1</v>
      </c>
      <c r="J84" s="1">
        <f>OA!E84</f>
        <v>1</v>
      </c>
    </row>
    <row r="85" spans="1:10" ht="15.5" x14ac:dyDescent="0.35">
      <c r="A85" s="4">
        <v>84</v>
      </c>
      <c r="B85" s="17" t="s">
        <v>92</v>
      </c>
      <c r="C85" s="17" t="s">
        <v>93</v>
      </c>
      <c r="D85" s="4">
        <v>2020</v>
      </c>
      <c r="E85" s="1">
        <f>AUDELAY!G85</f>
        <v>71</v>
      </c>
      <c r="F85" s="9">
        <f>SIZE!F85</f>
        <v>30.35235147738112</v>
      </c>
      <c r="G85" s="9">
        <f>ROA!G85</f>
        <v>4.6155756006155312E-2</v>
      </c>
      <c r="H85" s="9">
        <f>DAR!G85</f>
        <v>0.56539978767846988</v>
      </c>
      <c r="I85" s="1">
        <f>KAP!E85</f>
        <v>0</v>
      </c>
      <c r="J85" s="1">
        <f>OA!E85</f>
        <v>1</v>
      </c>
    </row>
    <row r="86" spans="1:10" ht="15.5" x14ac:dyDescent="0.35">
      <c r="A86" s="4">
        <v>85</v>
      </c>
      <c r="B86" s="17" t="s">
        <v>94</v>
      </c>
      <c r="C86" s="17" t="s">
        <v>95</v>
      </c>
      <c r="D86" s="4">
        <v>2020</v>
      </c>
      <c r="E86" s="1">
        <f>AUDELAY!G86</f>
        <v>109</v>
      </c>
      <c r="F86" s="9">
        <f>SIZE!F86</f>
        <v>29.311002483739479</v>
      </c>
      <c r="G86" s="9">
        <f>ROA!G86</f>
        <v>5.9603508070889038E-4</v>
      </c>
      <c r="H86" s="9">
        <f>DAR!G86</f>
        <v>0.78769278883285965</v>
      </c>
      <c r="I86" s="1">
        <f>KAP!E86</f>
        <v>0</v>
      </c>
      <c r="J86" s="1">
        <f>OA!E86</f>
        <v>1</v>
      </c>
    </row>
    <row r="87" spans="1:10" ht="15.5" x14ac:dyDescent="0.35">
      <c r="A87" s="4">
        <v>86</v>
      </c>
      <c r="B87" s="17" t="s">
        <v>96</v>
      </c>
      <c r="C87" s="17" t="s">
        <v>97</v>
      </c>
      <c r="D87" s="4">
        <v>2020</v>
      </c>
      <c r="E87" s="1">
        <f>AUDELAY!G87</f>
        <v>116</v>
      </c>
      <c r="F87" s="9">
        <f>SIZE!F87</f>
        <v>29.763729097812753</v>
      </c>
      <c r="G87" s="9">
        <f>ROA!G87</f>
        <v>2.2963644648976585E-3</v>
      </c>
      <c r="H87" s="9">
        <f>DAR!G87</f>
        <v>0.85574905913174049</v>
      </c>
      <c r="I87" s="1">
        <f>KAP!E87</f>
        <v>0</v>
      </c>
      <c r="J87" s="1">
        <f>OA!E87</f>
        <v>1</v>
      </c>
    </row>
    <row r="88" spans="1:10" ht="15.5" x14ac:dyDescent="0.35">
      <c r="A88" s="4">
        <v>87</v>
      </c>
      <c r="B88" s="17" t="s">
        <v>98</v>
      </c>
      <c r="C88" s="17" t="s">
        <v>249</v>
      </c>
      <c r="D88" s="4">
        <v>2020</v>
      </c>
      <c r="E88" s="1">
        <f>AUDELAY!G88</f>
        <v>69</v>
      </c>
      <c r="F88" s="9">
        <f>SIZE!F88</f>
        <v>32.579312825805339</v>
      </c>
      <c r="G88" s="9">
        <f>ROA!G88</f>
        <v>1.1991400059724409E-2</v>
      </c>
      <c r="H88" s="9">
        <f>DAR!G88</f>
        <v>0.87045625795824633</v>
      </c>
      <c r="I88" s="1">
        <f>KAP!E88</f>
        <v>0</v>
      </c>
      <c r="J88" s="1">
        <f>OA!E88</f>
        <v>1</v>
      </c>
    </row>
    <row r="89" spans="1:10" ht="15.5" x14ac:dyDescent="0.35">
      <c r="A89" s="4">
        <v>88</v>
      </c>
      <c r="B89" s="17" t="s">
        <v>100</v>
      </c>
      <c r="C89" s="17" t="s">
        <v>101</v>
      </c>
      <c r="D89" s="4">
        <v>2020</v>
      </c>
      <c r="E89" s="1">
        <f>AUDELAY!G89</f>
        <v>36</v>
      </c>
      <c r="F89" s="9">
        <f>SIZE!F89</f>
        <v>29.944597551299548</v>
      </c>
      <c r="G89" s="9">
        <f>ROA!G89</f>
        <v>6.6254231283114761E-3</v>
      </c>
      <c r="H89" s="9">
        <f>DAR!G89</f>
        <v>0.87297763792070937</v>
      </c>
      <c r="I89" s="1">
        <f>KAP!E89</f>
        <v>1</v>
      </c>
      <c r="J89" s="1">
        <f>OA!E89</f>
        <v>1</v>
      </c>
    </row>
    <row r="90" spans="1:10" ht="15.5" x14ac:dyDescent="0.35">
      <c r="A90" s="4">
        <v>89</v>
      </c>
      <c r="B90" s="17" t="s">
        <v>102</v>
      </c>
      <c r="C90" s="17" t="s">
        <v>103</v>
      </c>
      <c r="D90" s="4">
        <v>2020</v>
      </c>
      <c r="E90" s="1">
        <f>AUDELAY!G90</f>
        <v>21</v>
      </c>
      <c r="F90" s="9">
        <f>SIZE!F90</f>
        <v>34.895985335048067</v>
      </c>
      <c r="G90" s="9">
        <f>ROA!G90</f>
        <v>1.2345342673478799E-2</v>
      </c>
      <c r="H90" s="9">
        <f>DAR!G90</f>
        <v>0.80545726692199504</v>
      </c>
      <c r="I90" s="1">
        <f>KAP!E90</f>
        <v>1</v>
      </c>
      <c r="J90" s="1">
        <f>OA!E90</f>
        <v>1</v>
      </c>
    </row>
    <row r="91" spans="1:10" ht="15.5" x14ac:dyDescent="0.35">
      <c r="A91" s="4">
        <v>90</v>
      </c>
      <c r="B91" s="17" t="s">
        <v>104</v>
      </c>
      <c r="C91" s="17" t="s">
        <v>105</v>
      </c>
      <c r="D91" s="4">
        <v>2020</v>
      </c>
      <c r="E91" s="1">
        <f>AUDELAY!G91</f>
        <v>120</v>
      </c>
      <c r="F91" s="9">
        <f>SIZE!F91</f>
        <v>29.664094625475723</v>
      </c>
      <c r="G91" s="9">
        <f>ROA!G91</f>
        <v>4.5896198370642136E-3</v>
      </c>
      <c r="H91" s="9">
        <f>DAR!G91</f>
        <v>0.80237233185188894</v>
      </c>
      <c r="I91" s="1">
        <f>KAP!E91</f>
        <v>1</v>
      </c>
      <c r="J91" s="1">
        <f>OA!E91</f>
        <v>1</v>
      </c>
    </row>
    <row r="92" spans="1:10" ht="15.5" x14ac:dyDescent="0.35">
      <c r="A92" s="4">
        <v>91</v>
      </c>
      <c r="B92" s="17" t="s">
        <v>106</v>
      </c>
      <c r="C92" s="17" t="s">
        <v>107</v>
      </c>
      <c r="D92" s="4">
        <v>2020</v>
      </c>
      <c r="E92" s="1">
        <f>AUDELAY!G92</f>
        <v>48</v>
      </c>
      <c r="F92" s="9">
        <f>SIZE!F92</f>
        <v>33.269175071170388</v>
      </c>
      <c r="G92" s="9">
        <f>ROA!G92</f>
        <v>7.1589242972802314E-3</v>
      </c>
      <c r="H92" s="9">
        <f>DAR!G92</f>
        <v>0.85387440657351854</v>
      </c>
      <c r="I92" s="1">
        <f>KAP!E92</f>
        <v>1</v>
      </c>
      <c r="J92" s="1">
        <f>OA!E92</f>
        <v>1</v>
      </c>
    </row>
    <row r="93" spans="1:10" ht="15.5" x14ac:dyDescent="0.35">
      <c r="A93" s="4">
        <v>92</v>
      </c>
      <c r="B93" s="17" t="s">
        <v>108</v>
      </c>
      <c r="C93" s="17" t="s">
        <v>109</v>
      </c>
      <c r="D93" s="4">
        <v>2020</v>
      </c>
      <c r="E93" s="1">
        <f>AUDELAY!G93</f>
        <v>49</v>
      </c>
      <c r="F93" s="9">
        <f>SIZE!F93</f>
        <v>32.785609049007022</v>
      </c>
      <c r="G93" s="9">
        <f>ROA!G93</f>
        <v>7.4146131320105158E-3</v>
      </c>
      <c r="H93" s="9">
        <f>DAR!G93</f>
        <v>0.84284183917449229</v>
      </c>
      <c r="I93" s="1">
        <f>KAP!E93</f>
        <v>1</v>
      </c>
      <c r="J93" s="1">
        <f>OA!E93</f>
        <v>1</v>
      </c>
    </row>
    <row r="94" spans="1:10" ht="15.5" x14ac:dyDescent="0.35">
      <c r="A94" s="4">
        <v>93</v>
      </c>
      <c r="B94" s="17" t="s">
        <v>110</v>
      </c>
      <c r="C94" s="17" t="s">
        <v>111</v>
      </c>
      <c r="D94" s="4">
        <v>2020</v>
      </c>
      <c r="E94" s="1">
        <f>AUDELAY!G94</f>
        <v>67</v>
      </c>
      <c r="F94" s="9">
        <f>SIZE!F94</f>
        <v>32.917903840428387</v>
      </c>
      <c r="G94" s="9">
        <f>ROA!G94</f>
        <v>3.6494272174906685E-3</v>
      </c>
      <c r="H94" s="9">
        <f>DAR!G94</f>
        <v>0.82262607955084455</v>
      </c>
      <c r="I94" s="1">
        <f>KAP!E94</f>
        <v>1</v>
      </c>
      <c r="J94" s="1">
        <f>OA!E94</f>
        <v>1</v>
      </c>
    </row>
    <row r="95" spans="1:10" ht="15.5" x14ac:dyDescent="0.35">
      <c r="A95" s="4">
        <v>94</v>
      </c>
      <c r="B95" s="17" t="s">
        <v>112</v>
      </c>
      <c r="C95" s="17" t="s">
        <v>113</v>
      </c>
      <c r="D95" s="4">
        <v>2020</v>
      </c>
      <c r="E95" s="1">
        <f>AUDELAY!G95</f>
        <v>40</v>
      </c>
      <c r="F95" s="9">
        <f>SIZE!F95</f>
        <v>28.018079422123431</v>
      </c>
      <c r="G95" s="9">
        <f>ROA!G95</f>
        <v>2.8019359325478482E-2</v>
      </c>
      <c r="H95" s="9">
        <f>DAR!G95</f>
        <v>0.41662454717894715</v>
      </c>
      <c r="I95" s="1">
        <f>KAP!E95</f>
        <v>0</v>
      </c>
      <c r="J95" s="1">
        <f>OA!E95</f>
        <v>1</v>
      </c>
    </row>
    <row r="96" spans="1:10" ht="15.5" x14ac:dyDescent="0.35">
      <c r="A96" s="4">
        <v>95</v>
      </c>
      <c r="B96" s="17" t="s">
        <v>114</v>
      </c>
      <c r="C96" s="17" t="s">
        <v>241</v>
      </c>
      <c r="D96" s="4">
        <v>2020</v>
      </c>
      <c r="E96" s="1">
        <f>AUDELAY!G96</f>
        <v>89</v>
      </c>
      <c r="F96" s="9">
        <f>SIZE!F96</f>
        <v>28.660250181999054</v>
      </c>
      <c r="G96" s="9">
        <f>ROA!G96</f>
        <v>4.2483990416894948E-2</v>
      </c>
      <c r="H96" s="9">
        <f>DAR!G96</f>
        <v>0.5040617233545267</v>
      </c>
      <c r="I96" s="1">
        <f>KAP!E96</f>
        <v>0</v>
      </c>
      <c r="J96" s="1">
        <f>OA!E96</f>
        <v>1</v>
      </c>
    </row>
    <row r="97" spans="1:10" ht="15.5" x14ac:dyDescent="0.35">
      <c r="A97" s="4">
        <v>96</v>
      </c>
      <c r="B97" s="17" t="s">
        <v>120</v>
      </c>
      <c r="C97" s="17" t="s">
        <v>121</v>
      </c>
      <c r="D97" s="4">
        <v>2020</v>
      </c>
      <c r="E97" s="1">
        <f>AUDELAY!G97</f>
        <v>57</v>
      </c>
      <c r="F97" s="9">
        <f>SIZE!F97</f>
        <v>32.841413841315429</v>
      </c>
      <c r="G97" s="9">
        <f>ROA!G97</f>
        <v>1.0950052088821867E-2</v>
      </c>
      <c r="H97" s="9">
        <f>DAR!G97</f>
        <v>0.77677012157792757</v>
      </c>
      <c r="I97" s="1">
        <f>KAP!E97</f>
        <v>1</v>
      </c>
      <c r="J97" s="1">
        <f>OA!E97</f>
        <v>1</v>
      </c>
    </row>
    <row r="98" spans="1:10" ht="15.5" x14ac:dyDescent="0.35">
      <c r="A98" s="4">
        <v>97</v>
      </c>
      <c r="B98" s="17" t="s">
        <v>128</v>
      </c>
      <c r="C98" s="17" t="s">
        <v>129</v>
      </c>
      <c r="D98" s="4">
        <v>2020</v>
      </c>
      <c r="E98" s="1">
        <f>AUDELAY!G98</f>
        <v>151</v>
      </c>
      <c r="F98" s="9">
        <f>SIZE!F98</f>
        <v>30.477868264646062</v>
      </c>
      <c r="G98" s="9">
        <f>ROA!G98</f>
        <v>1.8977837017401862E-2</v>
      </c>
      <c r="H98" s="9">
        <f>DAR!G98</f>
        <v>0.41126862756030585</v>
      </c>
      <c r="I98" s="1">
        <f>KAP!E98</f>
        <v>1</v>
      </c>
      <c r="J98" s="1">
        <f>OA!E98</f>
        <v>1</v>
      </c>
    </row>
    <row r="99" spans="1:10" ht="15.5" x14ac:dyDescent="0.35">
      <c r="A99" s="4">
        <v>98</v>
      </c>
      <c r="B99" s="17" t="s">
        <v>130</v>
      </c>
      <c r="C99" s="17" t="s">
        <v>131</v>
      </c>
      <c r="D99" s="4">
        <v>2020</v>
      </c>
      <c r="E99" s="1">
        <f>AUDELAY!G99</f>
        <v>151</v>
      </c>
      <c r="F99" s="9">
        <f>SIZE!F99</f>
        <v>29.126350807296582</v>
      </c>
      <c r="G99" s="9">
        <f>ROA!G99</f>
        <v>6.0273847310587519E-3</v>
      </c>
      <c r="H99" s="9">
        <f>DAR!G99</f>
        <v>0.66778499944068415</v>
      </c>
      <c r="I99" s="1">
        <f>KAP!E99</f>
        <v>1</v>
      </c>
      <c r="J99" s="1">
        <f>OA!E99</f>
        <v>1</v>
      </c>
    </row>
    <row r="100" spans="1:10" ht="15.5" x14ac:dyDescent="0.35">
      <c r="A100" s="4">
        <v>99</v>
      </c>
      <c r="B100" s="17" t="s">
        <v>140</v>
      </c>
      <c r="C100" s="17" t="s">
        <v>244</v>
      </c>
      <c r="D100" s="4">
        <v>2020</v>
      </c>
      <c r="E100" s="1">
        <f>AUDELAY!G100</f>
        <v>90</v>
      </c>
      <c r="F100" s="9">
        <f>SIZE!F100</f>
        <v>30.859275742021335</v>
      </c>
      <c r="G100" s="9">
        <f>ROA!G100</f>
        <v>1.9804979264786259E-3</v>
      </c>
      <c r="H100" s="9">
        <f>DAR!G100</f>
        <v>0.76157811039202483</v>
      </c>
      <c r="I100" s="1">
        <f>KAP!E100</f>
        <v>1</v>
      </c>
      <c r="J100" s="1">
        <f>OA!E100</f>
        <v>1</v>
      </c>
    </row>
    <row r="101" spans="1:10" ht="15.5" x14ac:dyDescent="0.35">
      <c r="A101" s="4">
        <v>100</v>
      </c>
      <c r="B101" s="17" t="s">
        <v>142</v>
      </c>
      <c r="C101" s="17" t="s">
        <v>143</v>
      </c>
      <c r="D101" s="4">
        <v>2020</v>
      </c>
      <c r="E101" s="1">
        <f>AUDELAY!G101</f>
        <v>20</v>
      </c>
      <c r="F101" s="9">
        <f>SIZE!F101</f>
        <v>32.352040281825701</v>
      </c>
      <c r="G101" s="9">
        <f>ROA!G101</f>
        <v>2.7486985542527688E-2</v>
      </c>
      <c r="H101" s="9">
        <f>DAR!G101</f>
        <v>0.88699831743341173</v>
      </c>
      <c r="I101" s="1">
        <f>KAP!E101</f>
        <v>0</v>
      </c>
      <c r="J101" s="1">
        <f>OA!E101</f>
        <v>1</v>
      </c>
    </row>
    <row r="102" spans="1:10" ht="15.5" x14ac:dyDescent="0.35">
      <c r="A102" s="4">
        <v>101</v>
      </c>
      <c r="B102" s="17" t="s">
        <v>144</v>
      </c>
      <c r="C102" s="17" t="s">
        <v>145</v>
      </c>
      <c r="D102" s="4">
        <v>2020</v>
      </c>
      <c r="E102" s="1">
        <f>AUDELAY!G102</f>
        <v>90</v>
      </c>
      <c r="F102" s="9">
        <f>SIZE!F102</f>
        <v>29.06857710843472</v>
      </c>
      <c r="G102" s="9">
        <f>ROA!G102</f>
        <v>4.1420598979715194E-2</v>
      </c>
      <c r="H102" s="9">
        <f>DAR!G102</f>
        <v>0.44542659081943181</v>
      </c>
      <c r="I102" s="1">
        <f>KAP!E102</f>
        <v>1</v>
      </c>
      <c r="J102" s="1">
        <f>OA!E102</f>
        <v>1</v>
      </c>
    </row>
    <row r="103" spans="1:10" ht="15.5" x14ac:dyDescent="0.35">
      <c r="A103" s="4">
        <v>102</v>
      </c>
      <c r="B103" s="17" t="s">
        <v>154</v>
      </c>
      <c r="C103" s="17" t="s">
        <v>155</v>
      </c>
      <c r="D103" s="4">
        <v>2020</v>
      </c>
      <c r="E103" s="1">
        <f>AUDELAY!G103</f>
        <v>53</v>
      </c>
      <c r="F103" s="9">
        <f>SIZE!F103</f>
        <v>28.718259188068412</v>
      </c>
      <c r="G103" s="9">
        <f>ROA!G103</f>
        <v>2.8896017638759257E-2</v>
      </c>
      <c r="H103" s="9">
        <f>DAR!G103</f>
        <v>0.53827716311335472</v>
      </c>
      <c r="I103" s="1">
        <f>KAP!E103</f>
        <v>0</v>
      </c>
      <c r="J103" s="1">
        <f>OA!E103</f>
        <v>1</v>
      </c>
    </row>
    <row r="104" spans="1:10" ht="15.5" x14ac:dyDescent="0.35">
      <c r="A104" s="4">
        <v>103</v>
      </c>
      <c r="B104" s="17" t="s">
        <v>160</v>
      </c>
      <c r="C104" s="17" t="s">
        <v>161</v>
      </c>
      <c r="D104" s="4">
        <v>2020</v>
      </c>
      <c r="E104" s="1">
        <f>AUDELAY!G104</f>
        <v>88</v>
      </c>
      <c r="F104" s="9">
        <f>SIZE!F104</f>
        <v>33.015823888250935</v>
      </c>
      <c r="G104" s="9">
        <f>ROA!G104</f>
        <v>1.432680642307463E-2</v>
      </c>
      <c r="H104" s="9">
        <f>DAR!G104</f>
        <v>0.78235903555021058</v>
      </c>
      <c r="I104" s="1">
        <f>KAP!E104</f>
        <v>1</v>
      </c>
      <c r="J104" s="1">
        <f>OA!E104</f>
        <v>1</v>
      </c>
    </row>
    <row r="105" spans="1:10" ht="15.5" x14ac:dyDescent="0.35">
      <c r="A105" s="4">
        <v>104</v>
      </c>
      <c r="B105" s="17" t="s">
        <v>164</v>
      </c>
      <c r="C105" s="17" t="s">
        <v>165</v>
      </c>
      <c r="D105" s="4">
        <v>2020</v>
      </c>
      <c r="E105" s="1">
        <f>AUDELAY!G105</f>
        <v>147</v>
      </c>
      <c r="F105" s="9">
        <f>SIZE!F105</f>
        <v>31.163589537499497</v>
      </c>
      <c r="G105" s="9">
        <f>ROA!G105</f>
        <v>5.6395285534418388E-2</v>
      </c>
      <c r="H105" s="9">
        <f>DAR!G105</f>
        <v>0.13111639357559432</v>
      </c>
      <c r="I105" s="1">
        <f>KAP!E105</f>
        <v>0</v>
      </c>
      <c r="J105" s="1">
        <f>OA!E105</f>
        <v>1</v>
      </c>
    </row>
    <row r="106" spans="1:10" ht="15.5" x14ac:dyDescent="0.35">
      <c r="A106" s="4">
        <v>105</v>
      </c>
      <c r="B106" s="17" t="s">
        <v>166</v>
      </c>
      <c r="C106" s="17" t="s">
        <v>167</v>
      </c>
      <c r="D106" s="4">
        <v>2020</v>
      </c>
      <c r="E106" s="1">
        <f>AUDELAY!G106</f>
        <v>147</v>
      </c>
      <c r="F106" s="9">
        <f>SIZE!F106</f>
        <v>31.108615212858272</v>
      </c>
      <c r="G106" s="9">
        <f>ROA!G106</f>
        <v>6.2977752170738546E-2</v>
      </c>
      <c r="H106" s="9">
        <f>DAR!G106</f>
        <v>0.14009332610826955</v>
      </c>
      <c r="I106" s="1">
        <f>KAP!E106</f>
        <v>0</v>
      </c>
      <c r="J106" s="1">
        <f>OA!E106</f>
        <v>1</v>
      </c>
    </row>
    <row r="107" spans="1:10" ht="15.5" x14ac:dyDescent="0.35">
      <c r="A107" s="4">
        <v>106</v>
      </c>
      <c r="B107" s="17" t="s">
        <v>170</v>
      </c>
      <c r="C107" s="17" t="s">
        <v>245</v>
      </c>
      <c r="D107" s="4">
        <v>2020</v>
      </c>
      <c r="E107" s="1">
        <f>AUDELAY!G107</f>
        <v>57</v>
      </c>
      <c r="F107" s="9">
        <f>SIZE!F107</f>
        <v>31.270025716560241</v>
      </c>
      <c r="G107" s="9">
        <f>ROA!G107</f>
        <v>1.4085296137148904E-2</v>
      </c>
      <c r="H107" s="9">
        <f>DAR!G107</f>
        <v>0.80892987188527321</v>
      </c>
      <c r="I107" s="1">
        <f>KAP!E107</f>
        <v>1</v>
      </c>
      <c r="J107" s="1">
        <f>OA!E107</f>
        <v>1</v>
      </c>
    </row>
    <row r="108" spans="1:10" ht="15.5" x14ac:dyDescent="0.35">
      <c r="A108" s="4">
        <v>107</v>
      </c>
      <c r="B108" s="17" t="s">
        <v>172</v>
      </c>
      <c r="C108" s="17" t="s">
        <v>173</v>
      </c>
      <c r="D108" s="4">
        <v>2020</v>
      </c>
      <c r="E108" s="1">
        <f>AUDELAY!G108</f>
        <v>63</v>
      </c>
      <c r="F108" s="9">
        <f>SIZE!F108</f>
        <v>31.187766743224902</v>
      </c>
      <c r="G108" s="9">
        <f>ROA!G108</f>
        <v>0.25174312644867042</v>
      </c>
      <c r="H108" s="9">
        <f>DAR!G108</f>
        <v>0.10420632013815878</v>
      </c>
      <c r="I108" s="1">
        <f>KAP!E108</f>
        <v>1</v>
      </c>
      <c r="J108" s="1">
        <f>OA!E108</f>
        <v>1</v>
      </c>
    </row>
    <row r="109" spans="1:10" ht="15.5" x14ac:dyDescent="0.35">
      <c r="A109" s="4">
        <v>108</v>
      </c>
      <c r="B109" s="17" t="s">
        <v>174</v>
      </c>
      <c r="C109" s="17" t="s">
        <v>175</v>
      </c>
      <c r="D109" s="4">
        <v>2020</v>
      </c>
      <c r="E109" s="1">
        <f>AUDELAY!G109</f>
        <v>120</v>
      </c>
      <c r="F109" s="9">
        <f>SIZE!F109</f>
        <v>28.615489461777539</v>
      </c>
      <c r="G109" s="9">
        <f>ROA!G109</f>
        <v>1.0568307634391415E-2</v>
      </c>
      <c r="H109" s="9">
        <f>DAR!G109</f>
        <v>0.69274137352445364</v>
      </c>
      <c r="I109" s="1">
        <f>KAP!E109</f>
        <v>1</v>
      </c>
      <c r="J109" s="1">
        <f>OA!E109</f>
        <v>1</v>
      </c>
    </row>
    <row r="110" spans="1:10" ht="15.5" x14ac:dyDescent="0.35">
      <c r="A110" s="4">
        <v>109</v>
      </c>
      <c r="B110" s="17" t="s">
        <v>176</v>
      </c>
      <c r="C110" s="17" t="s">
        <v>177</v>
      </c>
      <c r="D110" s="4">
        <v>2020</v>
      </c>
      <c r="E110" s="1">
        <f>AUDELAY!G110</f>
        <v>81</v>
      </c>
      <c r="F110" s="9">
        <f>SIZE!F110</f>
        <v>26.50870597798037</v>
      </c>
      <c r="G110" s="9">
        <f>ROA!G110</f>
        <v>5.5723755837706508E-2</v>
      </c>
      <c r="H110" s="9">
        <f>DAR!G110</f>
        <v>6.9756556519446469E-2</v>
      </c>
      <c r="I110" s="1">
        <f>KAP!E110</f>
        <v>0</v>
      </c>
      <c r="J110" s="1">
        <f>OA!E110</f>
        <v>1</v>
      </c>
    </row>
    <row r="111" spans="1:10" ht="15.5" x14ac:dyDescent="0.35">
      <c r="A111" s="4">
        <v>110</v>
      </c>
      <c r="B111" s="17" t="s">
        <v>184</v>
      </c>
      <c r="C111" s="17" t="s">
        <v>246</v>
      </c>
      <c r="D111" s="4">
        <v>2020</v>
      </c>
      <c r="E111" s="1">
        <f>AUDELAY!G111</f>
        <v>49</v>
      </c>
      <c r="F111" s="9">
        <f>SIZE!F111</f>
        <v>29.295648104329086</v>
      </c>
      <c r="G111" s="9">
        <f>ROA!G111</f>
        <v>1.0859431512223816E-2</v>
      </c>
      <c r="H111" s="9">
        <f>DAR!G111</f>
        <v>0.77036081898638498</v>
      </c>
      <c r="I111" s="1">
        <f>KAP!E111</f>
        <v>1</v>
      </c>
      <c r="J111" s="1">
        <f>OA!E111</f>
        <v>1</v>
      </c>
    </row>
    <row r="112" spans="1:10" ht="15.5" x14ac:dyDescent="0.35">
      <c r="A112" s="4">
        <v>111</v>
      </c>
      <c r="B112" s="17" t="s">
        <v>188</v>
      </c>
      <c r="C112" s="17" t="s">
        <v>189</v>
      </c>
      <c r="D112" s="4">
        <v>2020</v>
      </c>
      <c r="E112" s="1">
        <f>AUDELAY!G112</f>
        <v>144</v>
      </c>
      <c r="F112" s="9">
        <f>SIZE!F112</f>
        <v>31.152621475975693</v>
      </c>
      <c r="G112" s="9">
        <f>ROA!G112</f>
        <v>3.1148212397704286E-3</v>
      </c>
      <c r="H112" s="9">
        <f>DAR!G112</f>
        <v>0.70692919100319318</v>
      </c>
      <c r="I112" s="1">
        <f>KAP!E112</f>
        <v>0</v>
      </c>
      <c r="J112" s="1">
        <f>OA!E112</f>
        <v>1</v>
      </c>
    </row>
    <row r="113" spans="1:10" ht="15.5" x14ac:dyDescent="0.35">
      <c r="A113" s="4">
        <v>112</v>
      </c>
      <c r="B113" s="17" t="s">
        <v>190</v>
      </c>
      <c r="C113" s="17" t="s">
        <v>191</v>
      </c>
      <c r="D113" s="4">
        <v>2020</v>
      </c>
      <c r="E113" s="1">
        <f>AUDELAY!G113</f>
        <v>26</v>
      </c>
      <c r="F113" s="9">
        <f>SIZE!F113</f>
        <v>31.686548374283564</v>
      </c>
      <c r="G113" s="9">
        <f>ROA!G113</f>
        <v>4.2978685168335636E-3</v>
      </c>
      <c r="H113" s="9">
        <f>DAR!G113</f>
        <v>0.30277977252106564</v>
      </c>
      <c r="I113" s="1">
        <f>KAP!E113</f>
        <v>1</v>
      </c>
      <c r="J113" s="1">
        <f>OA!E113</f>
        <v>1</v>
      </c>
    </row>
    <row r="114" spans="1:10" ht="15.5" x14ac:dyDescent="0.35">
      <c r="A114" s="4">
        <v>113</v>
      </c>
      <c r="B114" s="17" t="s">
        <v>198</v>
      </c>
      <c r="C114" s="17" t="s">
        <v>199</v>
      </c>
      <c r="D114" s="4">
        <v>2020</v>
      </c>
      <c r="E114" s="1">
        <f>AUDELAY!G114</f>
        <v>41</v>
      </c>
      <c r="F114" s="9">
        <f>SIZE!F114</f>
        <v>30.430434627273463</v>
      </c>
      <c r="G114" s="9">
        <f>ROA!G114</f>
        <v>5.1999619105683265E-2</v>
      </c>
      <c r="H114" s="9">
        <f>DAR!G114</f>
        <v>0.16020013379977677</v>
      </c>
      <c r="I114" s="1">
        <f>KAP!E114</f>
        <v>1</v>
      </c>
      <c r="J114" s="1">
        <f>OA!E114</f>
        <v>1</v>
      </c>
    </row>
    <row r="115" spans="1:10" ht="15.5" x14ac:dyDescent="0.35">
      <c r="A115" s="4">
        <v>114</v>
      </c>
      <c r="B115" s="17" t="s">
        <v>200</v>
      </c>
      <c r="C115" s="17" t="s">
        <v>201</v>
      </c>
      <c r="D115" s="4">
        <v>2020</v>
      </c>
      <c r="E115" s="1">
        <f>AUDELAY!G115</f>
        <v>109</v>
      </c>
      <c r="F115" s="9">
        <f>SIZE!F115</f>
        <v>30.599387056754743</v>
      </c>
      <c r="G115" s="9">
        <f>ROA!G115</f>
        <v>1.397300181837168E-2</v>
      </c>
      <c r="H115" s="9">
        <f>DAR!G115</f>
        <v>0.56533803678972905</v>
      </c>
      <c r="I115" s="1">
        <f>KAP!E115</f>
        <v>1</v>
      </c>
      <c r="J115" s="1">
        <f>OA!E115</f>
        <v>1</v>
      </c>
    </row>
    <row r="116" spans="1:10" ht="15.5" x14ac:dyDescent="0.35">
      <c r="A116" s="4">
        <v>115</v>
      </c>
      <c r="B116" s="17" t="s">
        <v>206</v>
      </c>
      <c r="C116" s="17" t="s">
        <v>207</v>
      </c>
      <c r="D116" s="4">
        <v>2020</v>
      </c>
      <c r="E116" s="1">
        <f>AUDELAY!G116</f>
        <v>25</v>
      </c>
      <c r="F116" s="9">
        <f>SIZE!F116</f>
        <v>26.541563759092412</v>
      </c>
      <c r="G116" s="9">
        <f>ROA!G116</f>
        <v>0.2365250683394341</v>
      </c>
      <c r="H116" s="9">
        <f>DAR!G116</f>
        <v>0.15114662347983593</v>
      </c>
      <c r="I116" s="1">
        <f>KAP!E116</f>
        <v>0</v>
      </c>
      <c r="J116" s="1">
        <f>OA!E116</f>
        <v>1</v>
      </c>
    </row>
    <row r="117" spans="1:10" ht="15.5" x14ac:dyDescent="0.35">
      <c r="A117" s="4">
        <v>116</v>
      </c>
      <c r="B117" s="17" t="s">
        <v>208</v>
      </c>
      <c r="C117" s="17" t="s">
        <v>209</v>
      </c>
      <c r="D117" s="4">
        <v>2020</v>
      </c>
      <c r="E117" s="1">
        <f>AUDELAY!G117</f>
        <v>74</v>
      </c>
      <c r="F117" s="9">
        <f>SIZE!F117</f>
        <v>27.996520997932084</v>
      </c>
      <c r="G117" s="9">
        <f>ROA!G117</f>
        <v>2.4406572019969461E-2</v>
      </c>
      <c r="H117" s="9">
        <f>DAR!G117</f>
        <v>0.2999177104492019</v>
      </c>
      <c r="I117" s="1">
        <f>KAP!E117</f>
        <v>0</v>
      </c>
      <c r="J117" s="1">
        <f>OA!E117</f>
        <v>1</v>
      </c>
    </row>
    <row r="118" spans="1:10" ht="15.5" x14ac:dyDescent="0.35">
      <c r="A118" s="4">
        <v>117</v>
      </c>
      <c r="B118" s="17" t="s">
        <v>218</v>
      </c>
      <c r="C118" s="17" t="s">
        <v>219</v>
      </c>
      <c r="D118" s="4">
        <v>2020</v>
      </c>
      <c r="E118" s="1">
        <f>AUDELAY!G118</f>
        <v>144</v>
      </c>
      <c r="F118" s="9">
        <f>SIZE!F118</f>
        <v>27.202951078958829</v>
      </c>
      <c r="G118" s="9">
        <f>ROA!G118</f>
        <v>1.8052631540037441E-2</v>
      </c>
      <c r="H118" s="9">
        <f>DAR!G118</f>
        <v>0.20289606262818832</v>
      </c>
      <c r="I118" s="1">
        <f>KAP!E118</f>
        <v>0</v>
      </c>
      <c r="J118" s="1">
        <f>OA!E118</f>
        <v>1</v>
      </c>
    </row>
    <row r="119" spans="1:10" ht="15.5" x14ac:dyDescent="0.35">
      <c r="A119" s="4">
        <v>118</v>
      </c>
      <c r="B119" s="17" t="s">
        <v>220</v>
      </c>
      <c r="C119" s="17" t="s">
        <v>221</v>
      </c>
      <c r="D119" s="4">
        <v>2020</v>
      </c>
      <c r="E119" s="1">
        <f>AUDELAY!G119</f>
        <v>151</v>
      </c>
      <c r="F119" s="9">
        <f>SIZE!F119</f>
        <v>32.317367769718125</v>
      </c>
      <c r="G119" s="9">
        <f>ROA!G119</f>
        <v>5.1617137667899883E-3</v>
      </c>
      <c r="H119" s="9">
        <f>DAR!G119</f>
        <v>0.7886498116885442</v>
      </c>
      <c r="I119" s="1">
        <f>KAP!E119</f>
        <v>0</v>
      </c>
      <c r="J119" s="1">
        <f>OA!E119</f>
        <v>1</v>
      </c>
    </row>
    <row r="120" spans="1:10" ht="15.5" x14ac:dyDescent="0.35">
      <c r="A120" s="4">
        <v>119</v>
      </c>
      <c r="B120" s="17" t="s">
        <v>222</v>
      </c>
      <c r="C120" s="17" t="s">
        <v>223</v>
      </c>
      <c r="D120" s="4">
        <v>2020</v>
      </c>
      <c r="E120" s="1">
        <f>AUDELAY!G120</f>
        <v>144</v>
      </c>
      <c r="F120" s="9">
        <f>SIZE!F120</f>
        <v>26.932976959677084</v>
      </c>
      <c r="G120" s="9">
        <f>ROA!G120</f>
        <v>1.1673367280160784E-2</v>
      </c>
      <c r="H120" s="9">
        <f>DAR!G120</f>
        <v>3.453439913430795E-3</v>
      </c>
      <c r="I120" s="1">
        <f>KAP!E120</f>
        <v>0</v>
      </c>
      <c r="J120" s="1">
        <f>OA!E120</f>
        <v>1</v>
      </c>
    </row>
    <row r="121" spans="1:10" ht="15.5" x14ac:dyDescent="0.35">
      <c r="A121" s="4">
        <v>120</v>
      </c>
      <c r="B121" s="17" t="s">
        <v>224</v>
      </c>
      <c r="C121" s="17" t="s">
        <v>225</v>
      </c>
      <c r="D121" s="4">
        <v>2020</v>
      </c>
      <c r="E121" s="1">
        <f>AUDELAY!G121</f>
        <v>85</v>
      </c>
      <c r="F121" s="9">
        <f>SIZE!F121</f>
        <v>27.729794353330064</v>
      </c>
      <c r="G121" s="9">
        <f>ROA!G121</f>
        <v>1.3485372965256263E-2</v>
      </c>
      <c r="H121" s="9">
        <f>DAR!G121</f>
        <v>0.66915173732035715</v>
      </c>
      <c r="I121" s="1">
        <f>KAP!E121</f>
        <v>0</v>
      </c>
      <c r="J121" s="1">
        <f>OA!E121</f>
        <v>1</v>
      </c>
    </row>
    <row r="122" spans="1:10" ht="15.5" x14ac:dyDescent="0.35">
      <c r="A122" s="4">
        <v>121</v>
      </c>
      <c r="B122" s="17" t="s">
        <v>226</v>
      </c>
      <c r="C122" s="17" t="s">
        <v>227</v>
      </c>
      <c r="D122" s="4">
        <v>2020</v>
      </c>
      <c r="E122" s="1">
        <f>AUDELAY!G122</f>
        <v>81</v>
      </c>
      <c r="F122" s="9">
        <f>SIZE!F122</f>
        <v>30.700836961715076</v>
      </c>
      <c r="G122" s="9">
        <f>ROA!G122</f>
        <v>5.0233066018612925E-3</v>
      </c>
      <c r="H122" s="9">
        <f>DAR!G122</f>
        <v>0.91225527536861106</v>
      </c>
      <c r="I122" s="1">
        <f>KAP!E122</f>
        <v>0</v>
      </c>
      <c r="J122" s="1">
        <f>OA!E122</f>
        <v>1</v>
      </c>
    </row>
    <row r="123" spans="1:10" ht="15.5" x14ac:dyDescent="0.35">
      <c r="A123" s="4">
        <v>122</v>
      </c>
      <c r="B123" s="17" t="s">
        <v>228</v>
      </c>
      <c r="C123" s="17" t="s">
        <v>229</v>
      </c>
      <c r="D123" s="4">
        <v>2020</v>
      </c>
      <c r="E123" s="1">
        <f>AUDELAY!G123</f>
        <v>88</v>
      </c>
      <c r="F123" s="9">
        <f>SIZE!F123</f>
        <v>28.047480876081778</v>
      </c>
      <c r="G123" s="9">
        <f>ROA!G123</f>
        <v>4.322175035245486E-2</v>
      </c>
      <c r="H123" s="9">
        <f>DAR!G123</f>
        <v>0.66820066960246061</v>
      </c>
      <c r="I123" s="1">
        <f>KAP!E123</f>
        <v>0</v>
      </c>
      <c r="J123" s="1">
        <f>OA!E123</f>
        <v>1</v>
      </c>
    </row>
    <row r="124" spans="1:10" ht="15.5" x14ac:dyDescent="0.35">
      <c r="A124" s="4">
        <v>123</v>
      </c>
      <c r="B124" s="17" t="s">
        <v>230</v>
      </c>
      <c r="C124" s="17" t="s">
        <v>231</v>
      </c>
      <c r="D124" s="4">
        <v>2020</v>
      </c>
      <c r="E124" s="1">
        <f>AUDELAY!G124</f>
        <v>85</v>
      </c>
      <c r="F124" s="9">
        <f>SIZE!F124</f>
        <v>30.086576535263823</v>
      </c>
      <c r="G124" s="9">
        <f>ROA!G124</f>
        <v>8.9368281073970923E-4</v>
      </c>
      <c r="H124" s="9">
        <f>DAR!G124</f>
        <v>0.86687979236763646</v>
      </c>
      <c r="I124" s="1">
        <f>KAP!E124</f>
        <v>0</v>
      </c>
      <c r="J124" s="1">
        <f>OA!E124</f>
        <v>1</v>
      </c>
    </row>
    <row r="125" spans="1:10" ht="15.5" x14ac:dyDescent="0.35">
      <c r="A125" s="4">
        <v>124</v>
      </c>
      <c r="B125" s="17" t="s">
        <v>232</v>
      </c>
      <c r="C125" s="17" t="s">
        <v>233</v>
      </c>
      <c r="D125" s="4">
        <v>2020</v>
      </c>
      <c r="E125" s="1">
        <f>AUDELAY!G125</f>
        <v>95</v>
      </c>
      <c r="F125" s="9">
        <f>SIZE!F125</f>
        <v>30.637869278432646</v>
      </c>
      <c r="G125" s="9">
        <f>ROA!G125</f>
        <v>3.036755451241567E-3</v>
      </c>
      <c r="H125" s="9">
        <f>DAR!G125</f>
        <v>0.9188871216429868</v>
      </c>
      <c r="I125" s="1">
        <f>KAP!E125</f>
        <v>0</v>
      </c>
      <c r="J125" s="1">
        <f>OA!E125</f>
        <v>1</v>
      </c>
    </row>
    <row r="126" spans="1:10" ht="15.5" x14ac:dyDescent="0.35">
      <c r="A126" s="4">
        <v>125</v>
      </c>
      <c r="B126" s="42" t="s">
        <v>26</v>
      </c>
      <c r="C126" s="43" t="s">
        <v>239</v>
      </c>
      <c r="D126" s="44">
        <v>2021</v>
      </c>
      <c r="E126" s="1">
        <f>AUDELAY!G126</f>
        <v>31</v>
      </c>
      <c r="F126" s="9">
        <f>SIZE!F126</f>
        <v>32.243398567072035</v>
      </c>
      <c r="G126" s="9">
        <f>ROA!G126</f>
        <v>1.5121322934815598E-2</v>
      </c>
      <c r="H126" s="9">
        <f>DAR!G126</f>
        <v>0.89167813454936407</v>
      </c>
      <c r="I126" s="1">
        <f>KAP!E126</f>
        <v>0</v>
      </c>
      <c r="J126" s="1">
        <f>OA!E126</f>
        <v>1</v>
      </c>
    </row>
    <row r="127" spans="1:10" ht="15.5" x14ac:dyDescent="0.35">
      <c r="A127" s="4">
        <v>126</v>
      </c>
      <c r="B127" s="17" t="s">
        <v>29</v>
      </c>
      <c r="C127" s="17" t="s">
        <v>30</v>
      </c>
      <c r="D127" s="4">
        <v>2021</v>
      </c>
      <c r="E127" s="1">
        <f>AUDELAY!G127</f>
        <v>84</v>
      </c>
      <c r="F127" s="9">
        <f>SIZE!F127</f>
        <v>29.594477008356726</v>
      </c>
      <c r="G127" s="9">
        <f>ROA!G127</f>
        <v>6.5001016123319554E-3</v>
      </c>
      <c r="H127" s="9">
        <f>DAR!G127</f>
        <v>0.3253530384208283</v>
      </c>
      <c r="I127" s="1">
        <f>KAP!E127</f>
        <v>1</v>
      </c>
      <c r="J127" s="1">
        <f>OA!E127</f>
        <v>1</v>
      </c>
    </row>
    <row r="128" spans="1:10" ht="15.5" x14ac:dyDescent="0.35">
      <c r="A128" s="4">
        <v>127</v>
      </c>
      <c r="B128" s="17" t="s">
        <v>31</v>
      </c>
      <c r="C128" s="17" t="s">
        <v>32</v>
      </c>
      <c r="D128" s="4">
        <v>2021</v>
      </c>
      <c r="E128" s="1">
        <f>AUDELAY!G128</f>
        <v>112</v>
      </c>
      <c r="F128" s="9">
        <f>SIZE!F128</f>
        <v>29.257730218980821</v>
      </c>
      <c r="G128" s="9">
        <f>ROA!G128</f>
        <v>3.3158931620453753E-2</v>
      </c>
      <c r="H128" s="9">
        <f>DAR!G128</f>
        <v>0.78437819066479053</v>
      </c>
      <c r="I128" s="1">
        <f>KAP!E128</f>
        <v>1</v>
      </c>
      <c r="J128" s="1">
        <f>OA!E128</f>
        <v>1</v>
      </c>
    </row>
    <row r="129" spans="1:10" ht="15.5" x14ac:dyDescent="0.35">
      <c r="A129" s="4">
        <v>128</v>
      </c>
      <c r="B129" s="17" t="s">
        <v>33</v>
      </c>
      <c r="C129" s="17" t="s">
        <v>34</v>
      </c>
      <c r="D129" s="4">
        <v>2021</v>
      </c>
      <c r="E129" s="1">
        <f>AUDELAY!G129</f>
        <v>67</v>
      </c>
      <c r="F129" s="9">
        <f>SIZE!F129</f>
        <v>25.758356806479469</v>
      </c>
      <c r="G129" s="9">
        <f>ROA!G129</f>
        <v>5.9851045012478316E-2</v>
      </c>
      <c r="H129" s="9">
        <f>DAR!G129</f>
        <v>2.7951768675128379E-2</v>
      </c>
      <c r="I129" s="1">
        <f>KAP!E129</f>
        <v>0</v>
      </c>
      <c r="J129" s="1">
        <f>OA!E129</f>
        <v>1</v>
      </c>
    </row>
    <row r="130" spans="1:10" ht="15.5" x14ac:dyDescent="0.35">
      <c r="A130" s="4">
        <v>129</v>
      </c>
      <c r="B130" s="17" t="s">
        <v>35</v>
      </c>
      <c r="C130" s="17" t="s">
        <v>36</v>
      </c>
      <c r="D130" s="4">
        <v>2021</v>
      </c>
      <c r="E130" s="1">
        <f>AUDELAY!G130</f>
        <v>63</v>
      </c>
      <c r="F130" s="9">
        <f>SIZE!F130</f>
        <v>28.703729531127316</v>
      </c>
      <c r="G130" s="9">
        <f>ROA!G130</f>
        <v>3.3655536456726837E-2</v>
      </c>
      <c r="H130" s="9">
        <f>DAR!G130</f>
        <v>0.70176211442046366</v>
      </c>
      <c r="I130" s="1">
        <f>KAP!E130</f>
        <v>1</v>
      </c>
      <c r="J130" s="1">
        <f>OA!E130</f>
        <v>1</v>
      </c>
    </row>
    <row r="131" spans="1:10" ht="15.5" x14ac:dyDescent="0.35">
      <c r="A131" s="4">
        <v>130</v>
      </c>
      <c r="B131" s="17" t="s">
        <v>37</v>
      </c>
      <c r="C131" s="17" t="s">
        <v>38</v>
      </c>
      <c r="D131" s="4">
        <v>2021</v>
      </c>
      <c r="E131" s="1">
        <f>AUDELAY!G131</f>
        <v>27</v>
      </c>
      <c r="F131" s="9">
        <f>SIZE!F131</f>
        <v>32.998844059840749</v>
      </c>
      <c r="G131" s="9">
        <f>ROA!G131</f>
        <v>1.1752195035637111E-2</v>
      </c>
      <c r="H131" s="9">
        <f>DAR!G131</f>
        <v>0.84921533000806626</v>
      </c>
      <c r="I131" s="1">
        <f>KAP!E131</f>
        <v>1</v>
      </c>
      <c r="J131" s="1">
        <f>OA!E131</f>
        <v>1</v>
      </c>
    </row>
    <row r="132" spans="1:10" ht="15.5" x14ac:dyDescent="0.35">
      <c r="A132" s="4">
        <v>131</v>
      </c>
      <c r="B132" s="17" t="s">
        <v>39</v>
      </c>
      <c r="C132" s="17" t="s">
        <v>40</v>
      </c>
      <c r="D132" s="4">
        <v>2021</v>
      </c>
      <c r="E132" s="1">
        <f>AUDELAY!G132</f>
        <v>101</v>
      </c>
      <c r="F132" s="9">
        <f>SIZE!F132</f>
        <v>30.663212745519182</v>
      </c>
      <c r="G132" s="9">
        <f>ROA!G132</f>
        <v>3.0943983367982568E-3</v>
      </c>
      <c r="H132" s="9">
        <f>DAR!G132</f>
        <v>0.91492487239933695</v>
      </c>
      <c r="I132" s="1">
        <f>KAP!E132</f>
        <v>0</v>
      </c>
      <c r="J132" s="1">
        <f>OA!E132</f>
        <v>1</v>
      </c>
    </row>
    <row r="133" spans="1:10" ht="15.5" x14ac:dyDescent="0.35">
      <c r="A133" s="4">
        <v>132</v>
      </c>
      <c r="B133" s="17" t="s">
        <v>43</v>
      </c>
      <c r="C133" s="17" t="s">
        <v>44</v>
      </c>
      <c r="D133" s="4">
        <v>2021</v>
      </c>
      <c r="E133" s="1">
        <f>AUDELAY!G133</f>
        <v>118</v>
      </c>
      <c r="F133" s="9">
        <f>SIZE!F133</f>
        <v>28.547867729271967</v>
      </c>
      <c r="G133" s="9">
        <f>ROA!G133</f>
        <v>6.3622587550908549E-2</v>
      </c>
      <c r="H133" s="9">
        <f>DAR!G133</f>
        <v>0.39328395196448546</v>
      </c>
      <c r="I133" s="1">
        <f>KAP!E133</f>
        <v>0</v>
      </c>
      <c r="J133" s="1">
        <f>OA!E133</f>
        <v>1</v>
      </c>
    </row>
    <row r="134" spans="1:10" ht="15.5" x14ac:dyDescent="0.35">
      <c r="A134" s="4">
        <v>133</v>
      </c>
      <c r="B134" s="17" t="s">
        <v>45</v>
      </c>
      <c r="C134" s="17" t="s">
        <v>235</v>
      </c>
      <c r="D134" s="4">
        <v>2021</v>
      </c>
      <c r="E134" s="1">
        <f>AUDELAY!G134</f>
        <v>28</v>
      </c>
      <c r="F134" s="9">
        <f>SIZE!F134</f>
        <v>30.797587762152425</v>
      </c>
      <c r="G134" s="9">
        <f>ROA!G134</f>
        <v>5.1112951108040858E-2</v>
      </c>
      <c r="H134" s="9">
        <f>DAR!G134</f>
        <v>0.62542994708100452</v>
      </c>
      <c r="I134" s="1">
        <f>KAP!E134</f>
        <v>1</v>
      </c>
      <c r="J134" s="1">
        <f>OA!E134</f>
        <v>1</v>
      </c>
    </row>
    <row r="135" spans="1:10" ht="15.5" x14ac:dyDescent="0.35">
      <c r="A135" s="4">
        <v>134</v>
      </c>
      <c r="B135" s="17" t="s">
        <v>52</v>
      </c>
      <c r="C135" s="17" t="s">
        <v>53</v>
      </c>
      <c r="D135" s="4">
        <v>2021</v>
      </c>
      <c r="E135" s="1">
        <f>AUDELAY!G135</f>
        <v>69</v>
      </c>
      <c r="F135" s="9">
        <f>SIZE!F135</f>
        <v>29.168494153273503</v>
      </c>
      <c r="G135" s="9">
        <f>ROA!G135</f>
        <v>3.2117841707773036E-2</v>
      </c>
      <c r="H135" s="9">
        <f>DAR!G135</f>
        <v>0.60029339497645928</v>
      </c>
      <c r="I135" s="1">
        <f>KAP!E135</f>
        <v>0</v>
      </c>
      <c r="J135" s="1">
        <f>OA!E135</f>
        <v>1</v>
      </c>
    </row>
    <row r="136" spans="1:10" ht="15.5" x14ac:dyDescent="0.35">
      <c r="A136" s="4">
        <v>135</v>
      </c>
      <c r="B136" s="17" t="s">
        <v>54</v>
      </c>
      <c r="C136" s="17" t="s">
        <v>55</v>
      </c>
      <c r="D136" s="4">
        <v>2021</v>
      </c>
      <c r="E136" s="1">
        <f>AUDELAY!G136</f>
        <v>117</v>
      </c>
      <c r="F136" s="9">
        <f>SIZE!F136</f>
        <v>29.412159251255819</v>
      </c>
      <c r="G136" s="9">
        <f>ROA!G136</f>
        <v>1.7342423123226418E-2</v>
      </c>
      <c r="H136" s="9">
        <f>DAR!G136</f>
        <v>0.6441625543755749</v>
      </c>
      <c r="I136" s="1">
        <f>KAP!E136</f>
        <v>0</v>
      </c>
      <c r="J136" s="1">
        <f>OA!E136</f>
        <v>1</v>
      </c>
    </row>
    <row r="137" spans="1:10" ht="15.5" x14ac:dyDescent="0.35">
      <c r="A137" s="4">
        <v>136</v>
      </c>
      <c r="B137" s="17" t="s">
        <v>58</v>
      </c>
      <c r="C137" s="17" t="s">
        <v>59</v>
      </c>
      <c r="D137" s="4">
        <v>2021</v>
      </c>
      <c r="E137" s="1">
        <f>AUDELAY!G137</f>
        <v>89</v>
      </c>
      <c r="F137" s="9">
        <f>SIZE!F137</f>
        <v>27.584618109828725</v>
      </c>
      <c r="G137" s="9">
        <f>ROA!G137</f>
        <v>1.7251420539297443E-2</v>
      </c>
      <c r="H137" s="9">
        <f>DAR!G137</f>
        <v>0.62736102038860542</v>
      </c>
      <c r="I137" s="1">
        <f>KAP!E137</f>
        <v>0</v>
      </c>
      <c r="J137" s="1">
        <f>OA!E137</f>
        <v>1</v>
      </c>
    </row>
    <row r="138" spans="1:10" ht="15.5" x14ac:dyDescent="0.35">
      <c r="A138" s="4">
        <v>137</v>
      </c>
      <c r="B138" s="17" t="s">
        <v>60</v>
      </c>
      <c r="C138" s="17" t="s">
        <v>61</v>
      </c>
      <c r="D138" s="4">
        <v>2021</v>
      </c>
      <c r="E138" s="1">
        <f>AUDELAY!G138</f>
        <v>102</v>
      </c>
      <c r="F138" s="9">
        <f>SIZE!F138</f>
        <v>27.435906518836866</v>
      </c>
      <c r="G138" s="9">
        <f>ROA!G138</f>
        <v>2.4626025127010634E-2</v>
      </c>
      <c r="H138" s="9">
        <f>DAR!G138</f>
        <v>0.56037657974699429</v>
      </c>
      <c r="I138" s="1">
        <f>KAP!E138</f>
        <v>1</v>
      </c>
      <c r="J138" s="1">
        <f>OA!E138</f>
        <v>1</v>
      </c>
    </row>
    <row r="139" spans="1:10" ht="15.5" x14ac:dyDescent="0.35">
      <c r="A139" s="4">
        <v>138</v>
      </c>
      <c r="B139" s="17" t="s">
        <v>66</v>
      </c>
      <c r="C139" s="17" t="s">
        <v>67</v>
      </c>
      <c r="D139" s="4">
        <v>2021</v>
      </c>
      <c r="E139" s="1">
        <f>AUDELAY!G139</f>
        <v>24</v>
      </c>
      <c r="F139" s="9">
        <f>SIZE!F139</f>
        <v>34.744443869290329</v>
      </c>
      <c r="G139" s="9">
        <f>ROA!G139</f>
        <v>2.5595551079359909E-2</v>
      </c>
      <c r="H139" s="9">
        <f>DAR!G139</f>
        <v>0.83020163200446306</v>
      </c>
      <c r="I139" s="1">
        <f>KAP!E139</f>
        <v>1</v>
      </c>
      <c r="J139" s="1">
        <f>OA!E139</f>
        <v>1</v>
      </c>
    </row>
    <row r="140" spans="1:10" ht="15.5" x14ac:dyDescent="0.35">
      <c r="A140" s="4">
        <v>139</v>
      </c>
      <c r="B140" s="17" t="s">
        <v>72</v>
      </c>
      <c r="C140" s="17" t="s">
        <v>73</v>
      </c>
      <c r="D140" s="4">
        <v>2021</v>
      </c>
      <c r="E140" s="1">
        <f>AUDELAY!G140</f>
        <v>90</v>
      </c>
      <c r="F140" s="9">
        <f>SIZE!F140</f>
        <v>28.907184712936395</v>
      </c>
      <c r="G140" s="9">
        <f>ROA!G140</f>
        <v>8.0111798704278255E-3</v>
      </c>
      <c r="H140" s="9">
        <f>DAR!G140</f>
        <v>0.65284208070182881</v>
      </c>
      <c r="I140" s="1">
        <f>KAP!E140</f>
        <v>1</v>
      </c>
      <c r="J140" s="1">
        <f>OA!E140</f>
        <v>1</v>
      </c>
    </row>
    <row r="141" spans="1:10" ht="15.5" x14ac:dyDescent="0.35">
      <c r="A141" s="4">
        <v>140</v>
      </c>
      <c r="B141" s="17" t="s">
        <v>74</v>
      </c>
      <c r="C141" s="17" t="s">
        <v>75</v>
      </c>
      <c r="D141" s="4">
        <v>2021</v>
      </c>
      <c r="E141" s="1">
        <f>AUDELAY!G141</f>
        <v>88</v>
      </c>
      <c r="F141" s="9">
        <f>SIZE!F141</f>
        <v>30.402556302221676</v>
      </c>
      <c r="G141" s="9">
        <f>ROA!G141</f>
        <v>3.2507981944193208E-2</v>
      </c>
      <c r="H141" s="9">
        <f>DAR!G141</f>
        <v>0.73160362587878314</v>
      </c>
      <c r="I141" s="1">
        <f>KAP!E141</f>
        <v>0</v>
      </c>
      <c r="J141" s="1">
        <f>OA!E141</f>
        <v>1</v>
      </c>
    </row>
    <row r="142" spans="1:10" ht="15.5" x14ac:dyDescent="0.35">
      <c r="A142" s="4">
        <v>141</v>
      </c>
      <c r="B142" s="17" t="s">
        <v>76</v>
      </c>
      <c r="C142" s="17" t="s">
        <v>77</v>
      </c>
      <c r="D142" s="4">
        <v>2021</v>
      </c>
      <c r="E142" s="1">
        <f>AUDELAY!G142</f>
        <v>52</v>
      </c>
      <c r="F142" s="9">
        <f>SIZE!F142</f>
        <v>34.502981008302548</v>
      </c>
      <c r="G142" s="9">
        <f>ROA!G142</f>
        <v>1.1377095952010134E-2</v>
      </c>
      <c r="H142" s="9">
        <f>DAR!G142</f>
        <v>0.86886916001619052</v>
      </c>
      <c r="I142" s="1">
        <f>KAP!E142</f>
        <v>1</v>
      </c>
      <c r="J142" s="1">
        <f>OA!E142</f>
        <v>1</v>
      </c>
    </row>
    <row r="143" spans="1:10" ht="15.5" x14ac:dyDescent="0.35">
      <c r="A143" s="4">
        <v>142</v>
      </c>
      <c r="B143" s="17" t="s">
        <v>78</v>
      </c>
      <c r="C143" s="17" t="s">
        <v>79</v>
      </c>
      <c r="D143" s="4">
        <v>2021</v>
      </c>
      <c r="E143" s="1">
        <f>AUDELAY!G143</f>
        <v>34</v>
      </c>
      <c r="F143" s="9">
        <f>SIZE!F143</f>
        <v>35.056437245598062</v>
      </c>
      <c r="G143" s="9">
        <f>ROA!G143</f>
        <v>1.8327756111492371E-2</v>
      </c>
      <c r="H143" s="9">
        <f>DAR!G143</f>
        <v>0.82612049460046522</v>
      </c>
      <c r="I143" s="1">
        <f>KAP!E143</f>
        <v>1</v>
      </c>
      <c r="J143" s="1">
        <f>OA!E143</f>
        <v>1</v>
      </c>
    </row>
    <row r="144" spans="1:10" ht="15.5" x14ac:dyDescent="0.35">
      <c r="A144" s="4">
        <v>143</v>
      </c>
      <c r="B144" s="17" t="s">
        <v>80</v>
      </c>
      <c r="C144" s="17" t="s">
        <v>81</v>
      </c>
      <c r="D144" s="4">
        <v>2021</v>
      </c>
      <c r="E144" s="1">
        <f>AUDELAY!G144</f>
        <v>38</v>
      </c>
      <c r="F144" s="9">
        <f>SIZE!F144</f>
        <v>33.54956090483978</v>
      </c>
      <c r="G144" s="9">
        <f>ROA!G144</f>
        <v>6.3899690554702843E-3</v>
      </c>
      <c r="H144" s="9">
        <f>DAR!G144</f>
        <v>0.88120870293785269</v>
      </c>
      <c r="I144" s="1">
        <f>KAP!E144</f>
        <v>1</v>
      </c>
      <c r="J144" s="1">
        <f>OA!E144</f>
        <v>1</v>
      </c>
    </row>
    <row r="145" spans="1:10" ht="15.5" x14ac:dyDescent="0.35">
      <c r="A145" s="4">
        <v>144</v>
      </c>
      <c r="B145" s="17" t="s">
        <v>84</v>
      </c>
      <c r="C145" s="17" t="s">
        <v>85</v>
      </c>
      <c r="D145" s="4">
        <v>2021</v>
      </c>
      <c r="E145" s="1">
        <f>AUDELAY!G145</f>
        <v>90</v>
      </c>
      <c r="F145" s="9">
        <f>SIZE!F145</f>
        <v>30.706209833029149</v>
      </c>
      <c r="G145" s="9">
        <f>ROA!G145</f>
        <v>6.796444882526842E-3</v>
      </c>
      <c r="H145" s="9">
        <f>DAR!G145</f>
        <v>0.72255380630469201</v>
      </c>
      <c r="I145" s="1">
        <f>KAP!E145</f>
        <v>0</v>
      </c>
      <c r="J145" s="1">
        <f>OA!E145</f>
        <v>1</v>
      </c>
    </row>
    <row r="146" spans="1:10" ht="15.5" x14ac:dyDescent="0.35">
      <c r="A146" s="4">
        <v>145</v>
      </c>
      <c r="B146" s="17" t="s">
        <v>88</v>
      </c>
      <c r="C146" s="17" t="s">
        <v>89</v>
      </c>
      <c r="D146" s="4">
        <v>2021</v>
      </c>
      <c r="E146" s="1">
        <f>AUDELAY!G146</f>
        <v>59</v>
      </c>
      <c r="F146" s="9">
        <f>SIZE!F146</f>
        <v>32.889764136402555</v>
      </c>
      <c r="G146" s="9">
        <f>ROA!G146</f>
        <v>8.683326167106235E-3</v>
      </c>
      <c r="H146" s="9">
        <f>DAR!G146</f>
        <v>0.76548518090160544</v>
      </c>
      <c r="I146" s="1">
        <f>KAP!E146</f>
        <v>1</v>
      </c>
      <c r="J146" s="1">
        <f>OA!E146</f>
        <v>1</v>
      </c>
    </row>
    <row r="147" spans="1:10" ht="15.5" x14ac:dyDescent="0.35">
      <c r="A147" s="4">
        <v>146</v>
      </c>
      <c r="B147" s="17" t="s">
        <v>92</v>
      </c>
      <c r="C147" s="17" t="s">
        <v>93</v>
      </c>
      <c r="D147" s="4">
        <v>2021</v>
      </c>
      <c r="E147" s="1">
        <f>AUDELAY!G147</f>
        <v>46</v>
      </c>
      <c r="F147" s="9">
        <f>SIZE!F147</f>
        <v>30.380580371471282</v>
      </c>
      <c r="G147" s="9">
        <f>ROA!G147</f>
        <v>7.2355902077925444E-2</v>
      </c>
      <c r="H147" s="9">
        <f>DAR!G147</f>
        <v>0.52479214445828237</v>
      </c>
      <c r="I147" s="1">
        <f>KAP!E147</f>
        <v>0</v>
      </c>
      <c r="J147" s="1">
        <f>OA!E147</f>
        <v>1</v>
      </c>
    </row>
    <row r="148" spans="1:10" ht="15.5" x14ac:dyDescent="0.35">
      <c r="A148" s="4">
        <v>147</v>
      </c>
      <c r="B148" s="17" t="s">
        <v>94</v>
      </c>
      <c r="C148" s="17" t="s">
        <v>95</v>
      </c>
      <c r="D148" s="4">
        <v>2021</v>
      </c>
      <c r="E148" s="1">
        <f>AUDELAY!G148</f>
        <v>87</v>
      </c>
      <c r="F148" s="9">
        <f>SIZE!F148</f>
        <v>29.779982890016118</v>
      </c>
      <c r="G148" s="9">
        <f>ROA!G148</f>
        <v>1.267031640809473E-3</v>
      </c>
      <c r="H148" s="9">
        <f>DAR!G148</f>
        <v>0.74942845982077788</v>
      </c>
      <c r="I148" s="1">
        <f>KAP!E148</f>
        <v>0</v>
      </c>
      <c r="J148" s="1">
        <f>OA!E148</f>
        <v>1</v>
      </c>
    </row>
    <row r="149" spans="1:10" ht="15.5" x14ac:dyDescent="0.35">
      <c r="A149" s="4">
        <v>148</v>
      </c>
      <c r="B149" s="17" t="s">
        <v>96</v>
      </c>
      <c r="C149" s="17" t="s">
        <v>97</v>
      </c>
      <c r="D149" s="4">
        <v>2021</v>
      </c>
      <c r="E149" s="1">
        <f>AUDELAY!G149</f>
        <v>90</v>
      </c>
      <c r="F149" s="9">
        <f>SIZE!F149</f>
        <v>30.342787735916417</v>
      </c>
      <c r="G149" s="9">
        <f>ROA!G149</f>
        <v>2.6400369291670681E-3</v>
      </c>
      <c r="H149" s="9">
        <f>DAR!G149</f>
        <v>0.84234201323737945</v>
      </c>
      <c r="I149" s="1">
        <f>KAP!E149</f>
        <v>0</v>
      </c>
      <c r="J149" s="1">
        <f>OA!E149</f>
        <v>1</v>
      </c>
    </row>
    <row r="150" spans="1:10" ht="15.5" x14ac:dyDescent="0.35">
      <c r="A150" s="4">
        <v>149</v>
      </c>
      <c r="B150" s="17" t="s">
        <v>98</v>
      </c>
      <c r="C150" s="17" t="s">
        <v>99</v>
      </c>
      <c r="D150" s="4">
        <v>2021</v>
      </c>
      <c r="E150" s="1">
        <f>AUDELAY!G150</f>
        <v>60</v>
      </c>
      <c r="F150" s="9">
        <f>SIZE!F150</f>
        <v>32.695867391487404</v>
      </c>
      <c r="G150" s="9">
        <f>ROA!G150</f>
        <v>1.274756096066197E-2</v>
      </c>
      <c r="H150" s="9">
        <f>DAR!G150</f>
        <v>0.87117185011196629</v>
      </c>
      <c r="I150" s="1">
        <f>KAP!E150</f>
        <v>0</v>
      </c>
      <c r="J150" s="1">
        <f>OA!E150</f>
        <v>1</v>
      </c>
    </row>
    <row r="151" spans="1:10" ht="15.5" x14ac:dyDescent="0.35">
      <c r="A151" s="4">
        <v>150</v>
      </c>
      <c r="B151" s="17" t="s">
        <v>100</v>
      </c>
      <c r="C151" s="17" t="s">
        <v>101</v>
      </c>
      <c r="D151" s="4">
        <v>2021</v>
      </c>
      <c r="E151" s="1">
        <f>AUDELAY!G151</f>
        <v>52</v>
      </c>
      <c r="F151" s="9">
        <f>SIZE!F151</f>
        <v>30.286679776563624</v>
      </c>
      <c r="G151" s="9">
        <f>ROA!G151</f>
        <v>5.6315897570618631E-3</v>
      </c>
      <c r="H151" s="9">
        <f>DAR!G151</f>
        <v>0.9064790358382333</v>
      </c>
      <c r="I151" s="1">
        <f>KAP!E151</f>
        <v>1</v>
      </c>
      <c r="J151" s="1">
        <f>OA!E151</f>
        <v>1</v>
      </c>
    </row>
    <row r="152" spans="1:10" ht="15.5" x14ac:dyDescent="0.35">
      <c r="A152" s="4">
        <v>151</v>
      </c>
      <c r="B152" s="17" t="s">
        <v>102</v>
      </c>
      <c r="C152" s="17" t="s">
        <v>103</v>
      </c>
      <c r="D152" s="4">
        <v>2021</v>
      </c>
      <c r="E152" s="1">
        <f>AUDELAY!G152</f>
        <v>27</v>
      </c>
      <c r="F152" s="9">
        <f>SIZE!F152</f>
        <v>35.08435765975414</v>
      </c>
      <c r="G152" s="9">
        <f>ROA!G152</f>
        <v>1.7704508567587308E-2</v>
      </c>
      <c r="H152" s="9">
        <f>DAR!G152</f>
        <v>0.76876662156063702</v>
      </c>
      <c r="I152" s="1">
        <f>KAP!E152</f>
        <v>1</v>
      </c>
      <c r="J152" s="1">
        <f>OA!E152</f>
        <v>1</v>
      </c>
    </row>
    <row r="153" spans="1:10" ht="15.5" x14ac:dyDescent="0.35">
      <c r="A153" s="4">
        <v>152</v>
      </c>
      <c r="B153" s="17" t="s">
        <v>104</v>
      </c>
      <c r="C153" s="17" t="s">
        <v>105</v>
      </c>
      <c r="D153" s="4">
        <v>2021</v>
      </c>
      <c r="E153" s="1">
        <f>AUDELAY!G153</f>
        <v>80</v>
      </c>
      <c r="F153" s="9">
        <f>SIZE!F153</f>
        <v>29.790489114603727</v>
      </c>
      <c r="G153" s="9">
        <f>ROA!G153</f>
        <v>5.1288603763591858E-3</v>
      </c>
      <c r="H153" s="9">
        <f>DAR!G153</f>
        <v>0.74225366587687824</v>
      </c>
      <c r="I153" s="1">
        <f>KAP!E153</f>
        <v>1</v>
      </c>
      <c r="J153" s="1">
        <f>OA!E153</f>
        <v>1</v>
      </c>
    </row>
    <row r="154" spans="1:10" ht="15.5" x14ac:dyDescent="0.35">
      <c r="A154" s="4">
        <v>153</v>
      </c>
      <c r="B154" s="17" t="s">
        <v>106</v>
      </c>
      <c r="C154" s="17" t="s">
        <v>107</v>
      </c>
      <c r="D154" s="4">
        <v>2021</v>
      </c>
      <c r="E154" s="1">
        <f>AUDELAY!G154</f>
        <v>48</v>
      </c>
      <c r="F154" s="9">
        <f>SIZE!F154</f>
        <v>33.370128777299897</v>
      </c>
      <c r="G154" s="9">
        <f>ROA!G154</f>
        <v>1.3187824868842631E-2</v>
      </c>
      <c r="H154" s="9">
        <f>DAR!G154</f>
        <v>0.86039196110415961</v>
      </c>
      <c r="I154" s="1">
        <f>KAP!E154</f>
        <v>1</v>
      </c>
      <c r="J154" s="1">
        <f>OA!E154</f>
        <v>1</v>
      </c>
    </row>
    <row r="155" spans="1:10" ht="15.5" x14ac:dyDescent="0.35">
      <c r="A155" s="4">
        <v>154</v>
      </c>
      <c r="B155" s="17" t="s">
        <v>108</v>
      </c>
      <c r="C155" s="17" t="s">
        <v>109</v>
      </c>
      <c r="D155" s="4">
        <v>2021</v>
      </c>
      <c r="E155" s="1">
        <f>AUDELAY!G155</f>
        <v>48</v>
      </c>
      <c r="F155" s="9">
        <f>SIZE!F155</f>
        <v>32.759489672567945</v>
      </c>
      <c r="G155" s="9">
        <f>ROA!G155</f>
        <v>9.9535978269915167E-3</v>
      </c>
      <c r="H155" s="9">
        <f>DAR!G155</f>
        <v>0.82978559844306721</v>
      </c>
      <c r="I155" s="1">
        <f>KAP!E155</f>
        <v>1</v>
      </c>
      <c r="J155" s="1">
        <f>OA!E155</f>
        <v>1</v>
      </c>
    </row>
    <row r="156" spans="1:10" ht="15.5" x14ac:dyDescent="0.35">
      <c r="A156" s="4">
        <v>155</v>
      </c>
      <c r="B156" s="17" t="s">
        <v>110</v>
      </c>
      <c r="C156" s="17" t="s">
        <v>111</v>
      </c>
      <c r="D156" s="4">
        <v>2021</v>
      </c>
      <c r="E156" s="1">
        <f>AUDELAY!G156</f>
        <v>70</v>
      </c>
      <c r="F156" s="9">
        <f>SIZE!F156</f>
        <v>33.087960758371182</v>
      </c>
      <c r="G156" s="9">
        <f>ROA!G156</f>
        <v>5.2527179456600048E-3</v>
      </c>
      <c r="H156" s="9">
        <f>DAR!G156</f>
        <v>0.84378417674392581</v>
      </c>
      <c r="I156" s="1">
        <f>KAP!E156</f>
        <v>1</v>
      </c>
      <c r="J156" s="1">
        <f>OA!E156</f>
        <v>1</v>
      </c>
    </row>
    <row r="157" spans="1:10" ht="15.5" x14ac:dyDescent="0.35">
      <c r="A157" s="4">
        <v>156</v>
      </c>
      <c r="B157" s="17" t="s">
        <v>112</v>
      </c>
      <c r="C157" s="17" t="s">
        <v>113</v>
      </c>
      <c r="D157" s="4">
        <v>2021</v>
      </c>
      <c r="E157" s="1">
        <f>AUDELAY!G157</f>
        <v>56</v>
      </c>
      <c r="F157" s="9">
        <f>SIZE!F157</f>
        <v>27.891544548456412</v>
      </c>
      <c r="G157" s="9">
        <f>ROA!G157</f>
        <v>3.5388520170514845E-2</v>
      </c>
      <c r="H157" s="9">
        <f>DAR!G157</f>
        <v>0.29077575609469186</v>
      </c>
      <c r="I157" s="1">
        <f>KAP!E157</f>
        <v>0</v>
      </c>
      <c r="J157" s="1">
        <f>OA!E157</f>
        <v>1</v>
      </c>
    </row>
    <row r="158" spans="1:10" ht="15.5" x14ac:dyDescent="0.35">
      <c r="A158" s="4">
        <v>157</v>
      </c>
      <c r="B158" s="17" t="s">
        <v>114</v>
      </c>
      <c r="C158" s="17" t="s">
        <v>241</v>
      </c>
      <c r="D158" s="4">
        <v>2021</v>
      </c>
      <c r="E158" s="1">
        <f>AUDELAY!G158</f>
        <v>88</v>
      </c>
      <c r="F158" s="9">
        <f>SIZE!F158</f>
        <v>28.717584108115926</v>
      </c>
      <c r="G158" s="9">
        <f>ROA!G158</f>
        <v>5.3653097431918914E-2</v>
      </c>
      <c r="H158" s="9">
        <f>DAR!G158</f>
        <v>0.52116955158283307</v>
      </c>
      <c r="I158" s="1">
        <f>KAP!E158</f>
        <v>0</v>
      </c>
      <c r="J158" s="1">
        <f>OA!E158</f>
        <v>1</v>
      </c>
    </row>
    <row r="159" spans="1:10" ht="15.5" x14ac:dyDescent="0.35">
      <c r="A159" s="4">
        <v>158</v>
      </c>
      <c r="B159" s="17" t="s">
        <v>120</v>
      </c>
      <c r="C159" s="17" t="s">
        <v>121</v>
      </c>
      <c r="D159" s="4">
        <v>2021</v>
      </c>
      <c r="E159" s="1">
        <f>AUDELAY!G159</f>
        <v>54</v>
      </c>
      <c r="F159" s="9">
        <f>SIZE!F159</f>
        <v>32.888088240021268</v>
      </c>
      <c r="G159" s="9">
        <f>ROA!G159</f>
        <v>1.6174711762266297E-2</v>
      </c>
      <c r="H159" s="9">
        <f>DAR!G159</f>
        <v>0.76560365215535986</v>
      </c>
      <c r="I159" s="1">
        <f>KAP!E159</f>
        <v>1</v>
      </c>
      <c r="J159" s="1">
        <f>OA!E159</f>
        <v>1</v>
      </c>
    </row>
    <row r="160" spans="1:10" ht="15.5" x14ac:dyDescent="0.35">
      <c r="A160" s="4">
        <v>159</v>
      </c>
      <c r="B160" s="17" t="s">
        <v>128</v>
      </c>
      <c r="C160" s="17" t="s">
        <v>129</v>
      </c>
      <c r="D160" s="4">
        <v>2021</v>
      </c>
      <c r="E160" s="1">
        <f>AUDELAY!G160</f>
        <v>118</v>
      </c>
      <c r="F160" s="9">
        <f>SIZE!F160</f>
        <v>30.523957028014163</v>
      </c>
      <c r="G160" s="9">
        <f>ROA!G160</f>
        <v>5.4563799365340566E-2</v>
      </c>
      <c r="H160" s="9">
        <f>DAR!G160</f>
        <v>0.37821063188101395</v>
      </c>
      <c r="I160" s="1">
        <f>KAP!E160</f>
        <v>1</v>
      </c>
      <c r="J160" s="1">
        <f>OA!E160</f>
        <v>1</v>
      </c>
    </row>
    <row r="161" spans="1:10" ht="15.5" x14ac:dyDescent="0.35">
      <c r="A161" s="4">
        <v>160</v>
      </c>
      <c r="B161" s="17" t="s">
        <v>130</v>
      </c>
      <c r="C161" s="17" t="s">
        <v>131</v>
      </c>
      <c r="D161" s="4">
        <v>2021</v>
      </c>
      <c r="E161" s="1">
        <f>AUDELAY!G161</f>
        <v>117</v>
      </c>
      <c r="F161" s="9">
        <f>SIZE!F161</f>
        <v>29.343612911196043</v>
      </c>
      <c r="G161" s="9">
        <f>ROA!G161</f>
        <v>2.1438454641721284E-3</v>
      </c>
      <c r="H161" s="9">
        <f>DAR!G161</f>
        <v>0.53286502107946332</v>
      </c>
      <c r="I161" s="1">
        <f>KAP!E161</f>
        <v>1</v>
      </c>
      <c r="J161" s="1">
        <f>OA!E161</f>
        <v>1</v>
      </c>
    </row>
    <row r="162" spans="1:10" ht="15.5" x14ac:dyDescent="0.35">
      <c r="A162" s="4">
        <v>161</v>
      </c>
      <c r="B162" s="17" t="s">
        <v>140</v>
      </c>
      <c r="C162" s="17" t="s">
        <v>244</v>
      </c>
      <c r="D162" s="4">
        <v>2021</v>
      </c>
      <c r="E162" s="1">
        <f>AUDELAY!G162</f>
        <v>25</v>
      </c>
      <c r="F162" s="9">
        <f>SIZE!F162</f>
        <v>30.896572413438484</v>
      </c>
      <c r="G162" s="9">
        <f>ROA!G162</f>
        <v>3.0308597040880417E-3</v>
      </c>
      <c r="H162" s="9">
        <f>DAR!G162</f>
        <v>0.76784466752394431</v>
      </c>
      <c r="I162" s="1">
        <f>KAP!E162</f>
        <v>1</v>
      </c>
      <c r="J162" s="1">
        <f>OA!E162</f>
        <v>1</v>
      </c>
    </row>
    <row r="163" spans="1:10" ht="15.5" x14ac:dyDescent="0.35">
      <c r="A163" s="4">
        <v>162</v>
      </c>
      <c r="B163" s="17" t="s">
        <v>142</v>
      </c>
      <c r="C163" s="17" t="s">
        <v>143</v>
      </c>
      <c r="D163" s="4">
        <v>2021</v>
      </c>
      <c r="E163" s="1">
        <f>AUDELAY!G163</f>
        <v>49</v>
      </c>
      <c r="F163" s="9">
        <f>SIZE!F163</f>
        <v>32.52046299061498</v>
      </c>
      <c r="G163" s="9">
        <f>ROA!G163</f>
        <v>3.0163074950900964E-2</v>
      </c>
      <c r="H163" s="9">
        <f>DAR!G163</f>
        <v>0.85592600929308904</v>
      </c>
      <c r="I163" s="1">
        <f>KAP!E163</f>
        <v>0</v>
      </c>
      <c r="J163" s="1">
        <f>OA!E163</f>
        <v>1</v>
      </c>
    </row>
    <row r="164" spans="1:10" ht="15.5" x14ac:dyDescent="0.35">
      <c r="A164" s="4">
        <v>163</v>
      </c>
      <c r="B164" s="17" t="s">
        <v>144</v>
      </c>
      <c r="C164" s="17" t="s">
        <v>145</v>
      </c>
      <c r="D164" s="4">
        <v>2021</v>
      </c>
      <c r="E164" s="1">
        <f>AUDELAY!G164</f>
        <v>74</v>
      </c>
      <c r="F164" s="9">
        <f>SIZE!F164</f>
        <v>29.307238037730951</v>
      </c>
      <c r="G164" s="9">
        <f>ROA!G164</f>
        <v>9.0780940849674183E-2</v>
      </c>
      <c r="H164" s="9">
        <f>DAR!G164</f>
        <v>0.48310645472205843</v>
      </c>
      <c r="I164" s="1">
        <f>KAP!E164</f>
        <v>1</v>
      </c>
      <c r="J164" s="1">
        <f>OA!E164</f>
        <v>1</v>
      </c>
    </row>
    <row r="165" spans="1:10" ht="15.5" x14ac:dyDescent="0.35">
      <c r="A165" s="4">
        <v>164</v>
      </c>
      <c r="B165" s="17" t="s">
        <v>154</v>
      </c>
      <c r="C165" s="17" t="s">
        <v>155</v>
      </c>
      <c r="D165" s="4">
        <v>2021</v>
      </c>
      <c r="E165" s="1">
        <f>AUDELAY!G165</f>
        <v>49</v>
      </c>
      <c r="F165" s="9">
        <f>SIZE!F165</f>
        <v>28.351195301520494</v>
      </c>
      <c r="G165" s="9">
        <f>ROA!G165</f>
        <v>7.6796379982445123E-2</v>
      </c>
      <c r="H165" s="9">
        <f>DAR!G165</f>
        <v>0.29133888638269101</v>
      </c>
      <c r="I165" s="1">
        <f>KAP!E165</f>
        <v>0</v>
      </c>
      <c r="J165" s="1">
        <f>OA!E165</f>
        <v>1</v>
      </c>
    </row>
    <row r="166" spans="1:10" ht="15.5" x14ac:dyDescent="0.35">
      <c r="A166" s="4">
        <v>165</v>
      </c>
      <c r="B166" s="17" t="s">
        <v>160</v>
      </c>
      <c r="C166" s="17" t="s">
        <v>161</v>
      </c>
      <c r="D166" s="4">
        <v>2021</v>
      </c>
      <c r="E166" s="1">
        <f>AUDELAY!G166</f>
        <v>84</v>
      </c>
      <c r="F166" s="9">
        <f>SIZE!F166</f>
        <v>32.951405905929811</v>
      </c>
      <c r="G166" s="9">
        <f>ROA!G166</f>
        <v>8.8865959614255405E-3</v>
      </c>
      <c r="H166" s="9">
        <f>DAR!G166</f>
        <v>0.76255921243510705</v>
      </c>
      <c r="I166" s="1">
        <f>KAP!E166</f>
        <v>1</v>
      </c>
      <c r="J166" s="1">
        <f>OA!E166</f>
        <v>1</v>
      </c>
    </row>
    <row r="167" spans="1:10" ht="15.5" x14ac:dyDescent="0.35">
      <c r="A167" s="4">
        <v>166</v>
      </c>
      <c r="B167" s="17" t="s">
        <v>164</v>
      </c>
      <c r="C167" s="17" t="s">
        <v>165</v>
      </c>
      <c r="D167" s="4">
        <v>2021</v>
      </c>
      <c r="E167" s="1">
        <f>AUDELAY!G167</f>
        <v>116</v>
      </c>
      <c r="F167" s="9">
        <f>SIZE!F167</f>
        <v>31.194209192597203</v>
      </c>
      <c r="G167" s="9">
        <f>ROA!G167</f>
        <v>4.0767695883024015E-2</v>
      </c>
      <c r="H167" s="9">
        <f>DAR!G167</f>
        <v>0.12543293884117065</v>
      </c>
      <c r="I167" s="1">
        <f>KAP!E167</f>
        <v>0</v>
      </c>
      <c r="J167" s="1">
        <f>OA!E167</f>
        <v>1</v>
      </c>
    </row>
    <row r="168" spans="1:10" ht="15.5" x14ac:dyDescent="0.35">
      <c r="A168" s="4">
        <v>167</v>
      </c>
      <c r="B168" s="17" t="s">
        <v>166</v>
      </c>
      <c r="C168" s="17" t="s">
        <v>167</v>
      </c>
      <c r="D168" s="4">
        <v>2021</v>
      </c>
      <c r="E168" s="1">
        <f>AUDELAY!G168</f>
        <v>115</v>
      </c>
      <c r="F168" s="9">
        <f>SIZE!F168</f>
        <v>31.133347503023803</v>
      </c>
      <c r="G168" s="9">
        <f>ROA!G168</f>
        <v>4.5081037837943365E-2</v>
      </c>
      <c r="H168" s="9">
        <f>DAR!G168</f>
        <v>0.1318941723754474</v>
      </c>
      <c r="I168" s="1">
        <f>KAP!E168</f>
        <v>0</v>
      </c>
      <c r="J168" s="1">
        <f>OA!E168</f>
        <v>1</v>
      </c>
    </row>
    <row r="169" spans="1:10" ht="15.5" x14ac:dyDescent="0.35">
      <c r="A169" s="4">
        <v>168</v>
      </c>
      <c r="B169" s="17" t="s">
        <v>170</v>
      </c>
      <c r="C169" s="17" t="s">
        <v>245</v>
      </c>
      <c r="D169" s="4">
        <v>2021</v>
      </c>
      <c r="E169" s="1">
        <f>AUDELAY!G169</f>
        <v>60</v>
      </c>
      <c r="F169" s="9">
        <f>SIZE!F169</f>
        <v>31.410690800247632</v>
      </c>
      <c r="G169" s="9">
        <f>ROA!G169</f>
        <v>1.4364051006298381E-2</v>
      </c>
      <c r="H169" s="9">
        <f>DAR!G169</f>
        <v>0.78865618769701207</v>
      </c>
      <c r="I169" s="1">
        <f>KAP!E169</f>
        <v>1</v>
      </c>
      <c r="J169" s="1">
        <f>OA!E169</f>
        <v>1</v>
      </c>
    </row>
    <row r="170" spans="1:10" ht="15.5" x14ac:dyDescent="0.35">
      <c r="A170" s="4">
        <v>169</v>
      </c>
      <c r="B170" s="17" t="s">
        <v>172</v>
      </c>
      <c r="C170" s="17" t="s">
        <v>173</v>
      </c>
      <c r="D170" s="4">
        <v>2021</v>
      </c>
      <c r="E170" s="1">
        <f>AUDELAY!G170</f>
        <v>69</v>
      </c>
      <c r="F170" s="9">
        <f>SIZE!F170</f>
        <v>31.744375949131797</v>
      </c>
      <c r="G170" s="9">
        <f>ROA!G170</f>
        <v>0.40705158515501993</v>
      </c>
      <c r="H170" s="9">
        <f>DAR!G170</f>
        <v>8.4000273615407836E-2</v>
      </c>
      <c r="I170" s="1">
        <f>KAP!E170</f>
        <v>1</v>
      </c>
      <c r="J170" s="1">
        <f>OA!E170</f>
        <v>1</v>
      </c>
    </row>
    <row r="171" spans="1:10" ht="15.5" x14ac:dyDescent="0.35">
      <c r="A171" s="4">
        <v>170</v>
      </c>
      <c r="B171" s="17" t="s">
        <v>174</v>
      </c>
      <c r="C171" s="17" t="s">
        <v>175</v>
      </c>
      <c r="D171" s="4">
        <v>2021</v>
      </c>
      <c r="E171" s="1">
        <f>AUDELAY!G171</f>
        <v>111</v>
      </c>
      <c r="F171" s="9">
        <f>SIZE!F171</f>
        <v>28.229770712142233</v>
      </c>
      <c r="G171" s="9">
        <f>ROA!G171</f>
        <v>2.8537070012633624E-2</v>
      </c>
      <c r="H171" s="9">
        <f>DAR!G171</f>
        <v>0.51799576659914581</v>
      </c>
      <c r="I171" s="1">
        <f>KAP!E171</f>
        <v>1</v>
      </c>
      <c r="J171" s="1">
        <f>OA!E171</f>
        <v>1</v>
      </c>
    </row>
    <row r="172" spans="1:10" ht="15.5" x14ac:dyDescent="0.35">
      <c r="A172" s="4">
        <v>171</v>
      </c>
      <c r="B172" s="17" t="s">
        <v>176</v>
      </c>
      <c r="C172" s="17" t="s">
        <v>177</v>
      </c>
      <c r="D172" s="4">
        <v>2021</v>
      </c>
      <c r="E172" s="1">
        <f>AUDELAY!G172</f>
        <v>82</v>
      </c>
      <c r="F172" s="9">
        <f>SIZE!F172</f>
        <v>26.583885154318988</v>
      </c>
      <c r="G172" s="9">
        <f>ROA!G172</f>
        <v>6.8121961044371265E-2</v>
      </c>
      <c r="H172" s="9">
        <f>DAR!G172</f>
        <v>6.8638742826814425E-2</v>
      </c>
      <c r="I172" s="1">
        <f>KAP!E172</f>
        <v>0</v>
      </c>
      <c r="J172" s="1">
        <f>OA!E172</f>
        <v>1</v>
      </c>
    </row>
    <row r="173" spans="1:10" ht="15.5" x14ac:dyDescent="0.35">
      <c r="A173" s="4">
        <v>172</v>
      </c>
      <c r="B173" s="17" t="s">
        <v>184</v>
      </c>
      <c r="C173" s="17" t="s">
        <v>246</v>
      </c>
      <c r="D173" s="4">
        <v>2021</v>
      </c>
      <c r="E173" s="1">
        <f>AUDELAY!G173</f>
        <v>48</v>
      </c>
      <c r="F173" s="9">
        <f>SIZE!F173</f>
        <v>29.270228293892135</v>
      </c>
      <c r="G173" s="9">
        <f>ROA!G173</f>
        <v>2.147315011752866E-2</v>
      </c>
      <c r="H173" s="9">
        <f>DAR!G173</f>
        <v>0.7410939134364728</v>
      </c>
      <c r="I173" s="1">
        <f>KAP!E173</f>
        <v>1</v>
      </c>
      <c r="J173" s="1">
        <f>OA!E173</f>
        <v>1</v>
      </c>
    </row>
    <row r="174" spans="1:10" ht="15.5" x14ac:dyDescent="0.35">
      <c r="A174" s="4">
        <v>173</v>
      </c>
      <c r="B174" s="17" t="s">
        <v>188</v>
      </c>
      <c r="C174" s="17" t="s">
        <v>189</v>
      </c>
      <c r="D174" s="4">
        <v>2021</v>
      </c>
      <c r="E174" s="1">
        <f>AUDELAY!G174</f>
        <v>118</v>
      </c>
      <c r="F174" s="9">
        <f>SIZE!F174</f>
        <v>31.272010976487579</v>
      </c>
      <c r="G174" s="9">
        <f>ROA!G174</f>
        <v>1.1272618638331557E-3</v>
      </c>
      <c r="H174" s="9">
        <f>DAR!G174</f>
        <v>0.70303091084631164</v>
      </c>
      <c r="I174" s="1">
        <f>KAP!E174</f>
        <v>0</v>
      </c>
      <c r="J174" s="1">
        <f>OA!E174</f>
        <v>1</v>
      </c>
    </row>
    <row r="175" spans="1:10" ht="15.5" x14ac:dyDescent="0.35">
      <c r="A175" s="4">
        <v>174</v>
      </c>
      <c r="B175" s="17" t="s">
        <v>190</v>
      </c>
      <c r="C175" s="17" t="s">
        <v>191</v>
      </c>
      <c r="D175" s="4">
        <v>2021</v>
      </c>
      <c r="E175" s="1">
        <f>AUDELAY!G175</f>
        <v>19</v>
      </c>
      <c r="F175" s="9">
        <f>SIZE!F175</f>
        <v>33.211841219044715</v>
      </c>
      <c r="G175" s="9">
        <f>ROA!G175</f>
        <v>1.1414736666074846E-2</v>
      </c>
      <c r="H175" s="9">
        <f>DAR!G175</f>
        <v>0.23327939380965326</v>
      </c>
      <c r="I175" s="1">
        <f>KAP!E175</f>
        <v>1</v>
      </c>
      <c r="J175" s="1">
        <f>OA!E175</f>
        <v>1</v>
      </c>
    </row>
    <row r="176" spans="1:10" ht="15.5" x14ac:dyDescent="0.35">
      <c r="A176" s="4">
        <v>175</v>
      </c>
      <c r="B176" s="17" t="s">
        <v>198</v>
      </c>
      <c r="C176" s="17" t="s">
        <v>199</v>
      </c>
      <c r="D176" s="4">
        <v>2021</v>
      </c>
      <c r="E176" s="1">
        <f>AUDELAY!G176</f>
        <v>42</v>
      </c>
      <c r="F176" s="9">
        <f>SIZE!F176</f>
        <v>30.551159637180866</v>
      </c>
      <c r="G176" s="9">
        <f>ROA!G176</f>
        <v>7.9002177324931769E-2</v>
      </c>
      <c r="H176" s="9">
        <f>DAR!G176</f>
        <v>0.13713722755396721</v>
      </c>
      <c r="I176" s="1">
        <f>KAP!E176</f>
        <v>1</v>
      </c>
      <c r="J176" s="1">
        <f>OA!E176</f>
        <v>1</v>
      </c>
    </row>
    <row r="177" spans="1:10" ht="15.5" x14ac:dyDescent="0.35">
      <c r="A177" s="4">
        <v>176</v>
      </c>
      <c r="B177" s="17" t="s">
        <v>200</v>
      </c>
      <c r="C177" s="17" t="s">
        <v>201</v>
      </c>
      <c r="D177" s="4">
        <v>2021</v>
      </c>
      <c r="E177" s="1">
        <f>AUDELAY!G177</f>
        <v>129</v>
      </c>
      <c r="F177" s="9">
        <f>SIZE!F177</f>
        <v>30.636112258922232</v>
      </c>
      <c r="G177" s="9">
        <f>ROA!G177</f>
        <v>1.6209104373669795E-2</v>
      </c>
      <c r="H177" s="9">
        <f>DAR!G177</f>
        <v>0.56460733956873865</v>
      </c>
      <c r="I177" s="1">
        <f>KAP!E177</f>
        <v>1</v>
      </c>
      <c r="J177" s="1">
        <f>OA!E177</f>
        <v>1</v>
      </c>
    </row>
    <row r="178" spans="1:10" ht="15.5" x14ac:dyDescent="0.35">
      <c r="A178" s="4">
        <v>177</v>
      </c>
      <c r="B178" s="17" t="s">
        <v>206</v>
      </c>
      <c r="C178" s="17" t="s">
        <v>207</v>
      </c>
      <c r="D178" s="4">
        <v>2021</v>
      </c>
      <c r="E178" s="1">
        <f>AUDELAY!G178</f>
        <v>23</v>
      </c>
      <c r="F178" s="9">
        <f>SIZE!F178</f>
        <v>26.69740109553257</v>
      </c>
      <c r="G178" s="9">
        <f>ROA!G178</f>
        <v>0.25340092794204433</v>
      </c>
      <c r="H178" s="9">
        <f>DAR!G178</f>
        <v>0.20590749069005515</v>
      </c>
      <c r="I178" s="1">
        <f>KAP!E178</f>
        <v>0</v>
      </c>
      <c r="J178" s="1">
        <f>OA!E178</f>
        <v>1</v>
      </c>
    </row>
    <row r="179" spans="1:10" ht="15.5" x14ac:dyDescent="0.35">
      <c r="A179" s="4">
        <v>178</v>
      </c>
      <c r="B179" s="17" t="s">
        <v>208</v>
      </c>
      <c r="C179" s="17" t="s">
        <v>209</v>
      </c>
      <c r="D179" s="4">
        <v>2021</v>
      </c>
      <c r="E179" s="1">
        <f>AUDELAY!G179</f>
        <v>53</v>
      </c>
      <c r="F179" s="9">
        <f>SIZE!F179</f>
        <v>28.537695957102823</v>
      </c>
      <c r="G179" s="9">
        <f>ROA!G179</f>
        <v>2.6519084262290236E-2</v>
      </c>
      <c r="H179" s="9">
        <f>DAR!G179</f>
        <v>0.16419473509234242</v>
      </c>
      <c r="I179" s="1">
        <f>KAP!E179</f>
        <v>0</v>
      </c>
      <c r="J179" s="1">
        <f>OA!E179</f>
        <v>1</v>
      </c>
    </row>
    <row r="180" spans="1:10" ht="15.5" x14ac:dyDescent="0.35">
      <c r="A180" s="4">
        <v>179</v>
      </c>
      <c r="B180" s="17" t="s">
        <v>218</v>
      </c>
      <c r="C180" s="17" t="s">
        <v>219</v>
      </c>
      <c r="D180" s="4">
        <v>2021</v>
      </c>
      <c r="E180" s="1">
        <f>AUDELAY!G180</f>
        <v>117</v>
      </c>
      <c r="F180" s="9">
        <f>SIZE!F180</f>
        <v>27.324586524192043</v>
      </c>
      <c r="G180" s="9">
        <f>ROA!G180</f>
        <v>1.2833947984316091E-2</v>
      </c>
      <c r="H180" s="9">
        <f>DAR!G180</f>
        <v>0.26676561362932827</v>
      </c>
      <c r="I180" s="1">
        <f>KAP!E180</f>
        <v>0</v>
      </c>
      <c r="J180" s="1">
        <f>OA!E180</f>
        <v>1</v>
      </c>
    </row>
    <row r="181" spans="1:10" ht="15.5" x14ac:dyDescent="0.35">
      <c r="A181" s="4">
        <v>180</v>
      </c>
      <c r="B181" s="17" t="s">
        <v>220</v>
      </c>
      <c r="C181" s="17" t="s">
        <v>221</v>
      </c>
      <c r="D181" s="4">
        <v>2021</v>
      </c>
      <c r="E181" s="1">
        <f>AUDELAY!G181</f>
        <v>117</v>
      </c>
      <c r="F181" s="9">
        <f>SIZE!F181</f>
        <v>32.397544543764482</v>
      </c>
      <c r="G181" s="9">
        <f>ROA!G181</f>
        <v>8.4399626282015364E-3</v>
      </c>
      <c r="H181" s="9">
        <f>DAR!G181</f>
        <v>0.80612471965045285</v>
      </c>
      <c r="I181" s="1">
        <f>KAP!E181</f>
        <v>0</v>
      </c>
      <c r="J181" s="1">
        <f>OA!E181</f>
        <v>1</v>
      </c>
    </row>
    <row r="182" spans="1:10" ht="15.5" x14ac:dyDescent="0.35">
      <c r="A182" s="4">
        <v>181</v>
      </c>
      <c r="B182" s="17" t="s">
        <v>222</v>
      </c>
      <c r="C182" s="17" t="s">
        <v>223</v>
      </c>
      <c r="D182" s="4">
        <v>2021</v>
      </c>
      <c r="E182" s="1">
        <f>AUDELAY!G182</f>
        <v>115</v>
      </c>
      <c r="F182" s="9">
        <f>SIZE!F182</f>
        <v>26.954627083785635</v>
      </c>
      <c r="G182" s="9">
        <f>ROA!G182</f>
        <v>2.0676852212786732E-2</v>
      </c>
      <c r="H182" s="9">
        <f>DAR!G182</f>
        <v>4.0674176406970989E-3</v>
      </c>
      <c r="I182" s="1">
        <f>KAP!E182</f>
        <v>0</v>
      </c>
      <c r="J182" s="1">
        <f>OA!E182</f>
        <v>1</v>
      </c>
    </row>
    <row r="183" spans="1:10" ht="15.5" x14ac:dyDescent="0.35">
      <c r="A183" s="4">
        <v>182</v>
      </c>
      <c r="B183" s="17" t="s">
        <v>224</v>
      </c>
      <c r="C183" s="17" t="s">
        <v>225</v>
      </c>
      <c r="D183" s="4">
        <v>2021</v>
      </c>
      <c r="E183" s="1">
        <f>AUDELAY!G183</f>
        <v>66</v>
      </c>
      <c r="F183" s="9">
        <f>SIZE!F183</f>
        <v>27.965024898422151</v>
      </c>
      <c r="G183" s="9">
        <f>ROA!G183</f>
        <v>1.9141253895910374E-2</v>
      </c>
      <c r="H183" s="9">
        <f>DAR!G183</f>
        <v>0.26027563185982927</v>
      </c>
      <c r="I183" s="1">
        <f>KAP!E183</f>
        <v>0</v>
      </c>
      <c r="J183" s="1">
        <f>OA!E183</f>
        <v>1</v>
      </c>
    </row>
    <row r="184" spans="1:10" ht="15.5" x14ac:dyDescent="0.35">
      <c r="A184" s="4">
        <v>183</v>
      </c>
      <c r="B184" s="17" t="s">
        <v>226</v>
      </c>
      <c r="C184" s="17" t="s">
        <v>227</v>
      </c>
      <c r="D184" s="4">
        <v>2021</v>
      </c>
      <c r="E184" s="1">
        <f>AUDELAY!G184</f>
        <v>84</v>
      </c>
      <c r="F184" s="9">
        <f>SIZE!F184</f>
        <v>30.775308018355439</v>
      </c>
      <c r="G184" s="9">
        <f>ROA!G184</f>
        <v>9.1853655965459594E-3</v>
      </c>
      <c r="H184" s="9">
        <f>DAR!G184</f>
        <v>0.88359076608815046</v>
      </c>
      <c r="I184" s="1">
        <f>KAP!E184</f>
        <v>0</v>
      </c>
      <c r="J184" s="1">
        <f>OA!E184</f>
        <v>1</v>
      </c>
    </row>
    <row r="185" spans="1:10" ht="15.5" x14ac:dyDescent="0.35">
      <c r="A185" s="4">
        <v>184</v>
      </c>
      <c r="B185" s="17" t="s">
        <v>228</v>
      </c>
      <c r="C185" s="17" t="s">
        <v>229</v>
      </c>
      <c r="D185" s="4">
        <v>2021</v>
      </c>
      <c r="E185" s="1">
        <f>AUDELAY!G185</f>
        <v>111</v>
      </c>
      <c r="F185" s="9">
        <f>SIZE!F185</f>
        <v>27.975433282197017</v>
      </c>
      <c r="G185" s="9">
        <f>ROA!G185</f>
        <v>4.6032637248539364E-2</v>
      </c>
      <c r="H185" s="9">
        <f>DAR!G185</f>
        <v>0.61092559285611869</v>
      </c>
      <c r="I185" s="1">
        <f>KAP!E185</f>
        <v>0</v>
      </c>
      <c r="J185" s="1">
        <f>OA!E185</f>
        <v>1</v>
      </c>
    </row>
    <row r="186" spans="1:10" ht="15.5" x14ac:dyDescent="0.35">
      <c r="A186" s="4">
        <v>185</v>
      </c>
      <c r="B186" s="17" t="s">
        <v>230</v>
      </c>
      <c r="C186" s="17" t="s">
        <v>231</v>
      </c>
      <c r="D186" s="4">
        <v>2021</v>
      </c>
      <c r="E186" s="1">
        <f>AUDELAY!G186</f>
        <v>88</v>
      </c>
      <c r="F186" s="9">
        <f>SIZE!F186</f>
        <v>30.271174986979581</v>
      </c>
      <c r="G186" s="9">
        <f>ROA!G186</f>
        <v>9.1813553130279922E-4</v>
      </c>
      <c r="H186" s="9">
        <f>DAR!G186</f>
        <v>0.83122395714416186</v>
      </c>
      <c r="I186" s="1">
        <f>KAP!E186</f>
        <v>0</v>
      </c>
      <c r="J186" s="1">
        <f>OA!E186</f>
        <v>1</v>
      </c>
    </row>
    <row r="187" spans="1:10" ht="15.5" x14ac:dyDescent="0.35">
      <c r="A187" s="4">
        <v>186</v>
      </c>
      <c r="B187" s="17" t="s">
        <v>232</v>
      </c>
      <c r="C187" s="17" t="s">
        <v>233</v>
      </c>
      <c r="D187" s="4">
        <v>2021</v>
      </c>
      <c r="E187" s="1">
        <f>AUDELAY!G187</f>
        <v>89</v>
      </c>
      <c r="F187" s="9">
        <f>SIZE!F187</f>
        <v>30.736767793980619</v>
      </c>
      <c r="G187" s="9">
        <f>ROA!G187</f>
        <v>1.5580570766226805E-3</v>
      </c>
      <c r="H187" s="9">
        <f>DAR!G187</f>
        <v>0.90491883344546775</v>
      </c>
      <c r="I187" s="1">
        <f>KAP!E187</f>
        <v>0</v>
      </c>
      <c r="J187" s="1">
        <f>OA!E187</f>
        <v>1</v>
      </c>
    </row>
    <row r="188" spans="1:10" ht="15.5" x14ac:dyDescent="0.35">
      <c r="A188" s="4">
        <v>187</v>
      </c>
      <c r="B188" s="42" t="s">
        <v>26</v>
      </c>
      <c r="C188" s="43" t="s">
        <v>239</v>
      </c>
      <c r="D188" s="41">
        <v>2022</v>
      </c>
      <c r="E188" s="1">
        <f>AUDELAY!G188</f>
        <v>44</v>
      </c>
      <c r="F188" s="9">
        <f>SIZE!F188</f>
        <v>32.266054591777703</v>
      </c>
      <c r="G188" s="9">
        <f>ROA!G188</f>
        <v>1.4974313599080948E-2</v>
      </c>
      <c r="H188" s="9">
        <f>DAR!G188</f>
        <v>0.87075937757867461</v>
      </c>
      <c r="I188" s="1">
        <f>KAP!E188</f>
        <v>0</v>
      </c>
      <c r="J188" s="1">
        <f>OA!E188</f>
        <v>1</v>
      </c>
    </row>
    <row r="189" spans="1:10" ht="15.5" x14ac:dyDescent="0.35">
      <c r="A189" s="4">
        <v>188</v>
      </c>
      <c r="B189" s="17" t="s">
        <v>29</v>
      </c>
      <c r="C189" s="17" t="s">
        <v>30</v>
      </c>
      <c r="D189" s="4">
        <v>2022</v>
      </c>
      <c r="E189" s="1">
        <f>AUDELAY!G189</f>
        <v>65</v>
      </c>
      <c r="F189" s="9">
        <f>SIZE!F189</f>
        <v>29.716600757868306</v>
      </c>
      <c r="G189" s="9">
        <f>ROA!G189</f>
        <v>3.860259868773936E-2</v>
      </c>
      <c r="H189" s="9">
        <f>DAR!G189</f>
        <v>0.3650241834977605</v>
      </c>
      <c r="I189" s="1">
        <f>KAP!E189</f>
        <v>1</v>
      </c>
      <c r="J189" s="1">
        <f>OA!E189</f>
        <v>1</v>
      </c>
    </row>
    <row r="190" spans="1:10" ht="15.5" x14ac:dyDescent="0.35">
      <c r="A190" s="4">
        <v>189</v>
      </c>
      <c r="B190" s="17" t="s">
        <v>31</v>
      </c>
      <c r="C190" s="17" t="s">
        <v>32</v>
      </c>
      <c r="D190" s="4">
        <v>2022</v>
      </c>
      <c r="E190" s="1">
        <f>AUDELAY!G190</f>
        <v>110</v>
      </c>
      <c r="F190" s="9">
        <f>SIZE!F190</f>
        <v>29.169150978918257</v>
      </c>
      <c r="G190" s="9">
        <f>ROA!G190</f>
        <v>3.7002496845383523E-2</v>
      </c>
      <c r="H190" s="9">
        <f>DAR!G190</f>
        <v>0.77183150320831206</v>
      </c>
      <c r="I190" s="1">
        <f>KAP!E190</f>
        <v>1</v>
      </c>
      <c r="J190" s="1">
        <f>OA!E190</f>
        <v>1</v>
      </c>
    </row>
    <row r="191" spans="1:10" ht="15.5" x14ac:dyDescent="0.35">
      <c r="A191" s="4">
        <v>190</v>
      </c>
      <c r="B191" s="17" t="s">
        <v>33</v>
      </c>
      <c r="C191" s="17" t="s">
        <v>34</v>
      </c>
      <c r="D191" s="4">
        <v>2022</v>
      </c>
      <c r="E191" s="1">
        <f>AUDELAY!G191</f>
        <v>67</v>
      </c>
      <c r="F191" s="9">
        <f>SIZE!F191</f>
        <v>25.816137235701337</v>
      </c>
      <c r="G191" s="9">
        <f>ROA!G191</f>
        <v>5.1041182435194184E-2</v>
      </c>
      <c r="H191" s="9">
        <f>DAR!G191</f>
        <v>3.3448250620236736E-2</v>
      </c>
      <c r="I191" s="1">
        <f>KAP!E191</f>
        <v>0</v>
      </c>
      <c r="J191" s="1">
        <f>OA!E191</f>
        <v>1</v>
      </c>
    </row>
    <row r="192" spans="1:10" ht="15.5" x14ac:dyDescent="0.35">
      <c r="A192" s="4">
        <v>191</v>
      </c>
      <c r="B192" s="17" t="s">
        <v>35</v>
      </c>
      <c r="C192" s="17" t="s">
        <v>36</v>
      </c>
      <c r="D192" s="4">
        <v>2022</v>
      </c>
      <c r="E192" s="1">
        <f>AUDELAY!G192</f>
        <v>62</v>
      </c>
      <c r="F192" s="9">
        <f>SIZE!F192</f>
        <v>28.706250377076959</v>
      </c>
      <c r="G192" s="9">
        <f>ROA!G192</f>
        <v>2.5195210525068752E-2</v>
      </c>
      <c r="H192" s="9">
        <f>DAR!G192</f>
        <v>0.75085901486341433</v>
      </c>
      <c r="I192" s="1">
        <f>KAP!E192</f>
        <v>1</v>
      </c>
      <c r="J192" s="1">
        <f>OA!E192</f>
        <v>1</v>
      </c>
    </row>
    <row r="193" spans="1:10" ht="15.5" x14ac:dyDescent="0.35">
      <c r="A193" s="4">
        <v>192</v>
      </c>
      <c r="B193" s="17" t="s">
        <v>37</v>
      </c>
      <c r="C193" s="17" t="s">
        <v>38</v>
      </c>
      <c r="D193" s="4">
        <v>2022</v>
      </c>
      <c r="E193" s="1">
        <f>AUDELAY!G193</f>
        <v>27</v>
      </c>
      <c r="F193" s="9">
        <f>SIZE!F193</f>
        <v>33.10538438850287</v>
      </c>
      <c r="G193" s="9">
        <f>ROA!G193</f>
        <v>1.3949476256795847E-2</v>
      </c>
      <c r="H193" s="9">
        <f>DAR!G193</f>
        <v>0.85655663916796809</v>
      </c>
      <c r="I193" s="1">
        <f>KAP!E193</f>
        <v>1</v>
      </c>
      <c r="J193" s="1">
        <f>OA!E193</f>
        <v>1</v>
      </c>
    </row>
    <row r="194" spans="1:10" ht="15.5" x14ac:dyDescent="0.35">
      <c r="A194" s="4">
        <v>193</v>
      </c>
      <c r="B194" s="17" t="s">
        <v>39</v>
      </c>
      <c r="C194" s="17" t="s">
        <v>40</v>
      </c>
      <c r="D194" s="4">
        <v>2022</v>
      </c>
      <c r="E194" s="1">
        <f>AUDELAY!G194</f>
        <v>68</v>
      </c>
      <c r="F194" s="9">
        <f>SIZE!F194</f>
        <v>30.727338993372019</v>
      </c>
      <c r="G194" s="9">
        <f>ROA!G194</f>
        <v>4.6953916389338105E-3</v>
      </c>
      <c r="H194" s="9">
        <f>DAR!G194</f>
        <v>0.91532967034457646</v>
      </c>
      <c r="I194" s="1">
        <f>KAP!E194</f>
        <v>0</v>
      </c>
      <c r="J194" s="1">
        <f>OA!E194</f>
        <v>1</v>
      </c>
    </row>
    <row r="195" spans="1:10" ht="15.5" x14ac:dyDescent="0.35">
      <c r="A195" s="4">
        <v>194</v>
      </c>
      <c r="B195" s="17" t="s">
        <v>43</v>
      </c>
      <c r="C195" s="17" t="s">
        <v>44</v>
      </c>
      <c r="D195" s="4">
        <v>2022</v>
      </c>
      <c r="E195" s="1">
        <f>AUDELAY!G195</f>
        <v>59</v>
      </c>
      <c r="F195" s="9">
        <f>SIZE!F195</f>
        <v>28.536091504120542</v>
      </c>
      <c r="G195" s="9">
        <f>ROA!G195</f>
        <v>3.686665612310551E-2</v>
      </c>
      <c r="H195" s="9">
        <f>DAR!G195</f>
        <v>0.3910098825522656</v>
      </c>
      <c r="I195" s="1">
        <f>KAP!E195</f>
        <v>0</v>
      </c>
      <c r="J195" s="1">
        <f>OA!E195</f>
        <v>1</v>
      </c>
    </row>
    <row r="196" spans="1:10" ht="15.5" x14ac:dyDescent="0.35">
      <c r="A196" s="4">
        <v>195</v>
      </c>
      <c r="B196" s="17" t="s">
        <v>45</v>
      </c>
      <c r="C196" s="17" t="s">
        <v>235</v>
      </c>
      <c r="D196" s="4">
        <v>2022</v>
      </c>
      <c r="E196" s="1">
        <f>AUDELAY!G196</f>
        <v>39</v>
      </c>
      <c r="F196" s="9">
        <f>SIZE!F196</f>
        <v>30.845776664102836</v>
      </c>
      <c r="G196" s="9">
        <f>ROA!G196</f>
        <v>6.4487359123242952E-2</v>
      </c>
      <c r="H196" s="9">
        <f>DAR!G196</f>
        <v>0.58981797354361665</v>
      </c>
      <c r="I196" s="1">
        <f>KAP!E196</f>
        <v>1</v>
      </c>
      <c r="J196" s="1">
        <f>OA!E196</f>
        <v>1</v>
      </c>
    </row>
    <row r="197" spans="1:10" ht="15.5" x14ac:dyDescent="0.35">
      <c r="A197" s="4">
        <v>196</v>
      </c>
      <c r="B197" s="17" t="s">
        <v>52</v>
      </c>
      <c r="C197" s="17" t="s">
        <v>53</v>
      </c>
      <c r="D197" s="4">
        <v>2022</v>
      </c>
      <c r="E197" s="1">
        <f>AUDELAY!G197</f>
        <v>87</v>
      </c>
      <c r="F197" s="9">
        <f>SIZE!F197</f>
        <v>29.179826754404438</v>
      </c>
      <c r="G197" s="9">
        <f>ROA!G197</f>
        <v>3.6077340742870063E-2</v>
      </c>
      <c r="H197" s="9">
        <f>DAR!G197</f>
        <v>0.63867564534288912</v>
      </c>
      <c r="I197" s="1">
        <f>KAP!E197</f>
        <v>0</v>
      </c>
      <c r="J197" s="1">
        <f>OA!E197</f>
        <v>1</v>
      </c>
    </row>
    <row r="198" spans="1:10" ht="15.5" x14ac:dyDescent="0.35">
      <c r="A198" s="4">
        <v>197</v>
      </c>
      <c r="B198" s="17" t="s">
        <v>54</v>
      </c>
      <c r="C198" s="17" t="s">
        <v>55</v>
      </c>
      <c r="D198" s="4">
        <v>2022</v>
      </c>
      <c r="E198" s="1">
        <f>AUDELAY!G198</f>
        <v>89</v>
      </c>
      <c r="F198" s="9">
        <f>SIZE!F198</f>
        <v>29.556311596623054</v>
      </c>
      <c r="G198" s="9">
        <f>ROA!G198</f>
        <v>2.2837137422224291E-2</v>
      </c>
      <c r="H198" s="9">
        <f>DAR!G198</f>
        <v>0.66917029748525814</v>
      </c>
      <c r="I198" s="1">
        <f>KAP!E198</f>
        <v>0</v>
      </c>
      <c r="J198" s="1">
        <f>OA!E198</f>
        <v>1</v>
      </c>
    </row>
    <row r="199" spans="1:10" ht="15.5" x14ac:dyDescent="0.35">
      <c r="A199" s="4">
        <v>198</v>
      </c>
      <c r="B199" s="17" t="s">
        <v>58</v>
      </c>
      <c r="C199" s="17" t="s">
        <v>59</v>
      </c>
      <c r="D199" s="4">
        <v>2022</v>
      </c>
      <c r="E199" s="1">
        <f>AUDELAY!G199</f>
        <v>88</v>
      </c>
      <c r="F199" s="9">
        <f>SIZE!F199</f>
        <v>27.620779782038102</v>
      </c>
      <c r="G199" s="9">
        <f>ROA!G199</f>
        <v>5.2006093729435781E-3</v>
      </c>
      <c r="H199" s="9">
        <f>DAR!G199</f>
        <v>0.62694734538847741</v>
      </c>
      <c r="I199" s="1">
        <f>KAP!E199</f>
        <v>0</v>
      </c>
      <c r="J199" s="1">
        <f>OA!E199</f>
        <v>1</v>
      </c>
    </row>
    <row r="200" spans="1:10" ht="15.5" x14ac:dyDescent="0.35">
      <c r="A200" s="4">
        <v>199</v>
      </c>
      <c r="B200" s="17" t="s">
        <v>60</v>
      </c>
      <c r="C200" s="17" t="s">
        <v>61</v>
      </c>
      <c r="D200" s="4">
        <v>2022</v>
      </c>
      <c r="E200" s="1">
        <f>AUDELAY!G200</f>
        <v>88</v>
      </c>
      <c r="F200" s="9">
        <f>SIZE!F200</f>
        <v>27.51333327786573</v>
      </c>
      <c r="G200" s="9">
        <f>ROA!G200</f>
        <v>2.0867963700511288E-2</v>
      </c>
      <c r="H200" s="9">
        <f>DAR!G200</f>
        <v>0.58927249838095008</v>
      </c>
      <c r="I200" s="1">
        <f>KAP!E200</f>
        <v>1</v>
      </c>
      <c r="J200" s="1">
        <f>OA!E200</f>
        <v>1</v>
      </c>
    </row>
    <row r="201" spans="1:10" ht="15.5" x14ac:dyDescent="0.35">
      <c r="A201" s="4">
        <v>200</v>
      </c>
      <c r="B201" s="17" t="s">
        <v>66</v>
      </c>
      <c r="C201" s="17" t="s">
        <v>67</v>
      </c>
      <c r="D201" s="4">
        <v>2022</v>
      </c>
      <c r="E201" s="1">
        <f>AUDELAY!G201</f>
        <v>25</v>
      </c>
      <c r="F201" s="9">
        <f>SIZE!F201</f>
        <v>34.812408989529224</v>
      </c>
      <c r="G201" s="9">
        <f>ROA!G201</f>
        <v>3.0999155801885701E-2</v>
      </c>
      <c r="H201" s="9">
        <f>DAR!G201</f>
        <v>0.82686807163664633</v>
      </c>
      <c r="I201" s="1">
        <f>KAP!E201</f>
        <v>1</v>
      </c>
      <c r="J201" s="1">
        <f>OA!E201</f>
        <v>1</v>
      </c>
    </row>
    <row r="202" spans="1:10" ht="15.5" x14ac:dyDescent="0.35">
      <c r="A202" s="4">
        <v>201</v>
      </c>
      <c r="B202" s="17" t="s">
        <v>72</v>
      </c>
      <c r="C202" s="17" t="s">
        <v>73</v>
      </c>
      <c r="D202" s="4">
        <v>2022</v>
      </c>
      <c r="E202" s="1">
        <f>AUDELAY!G202</f>
        <v>89</v>
      </c>
      <c r="F202" s="9">
        <f>SIZE!F202</f>
        <v>29.163610380910114</v>
      </c>
      <c r="G202" s="9">
        <f>ROA!G202</f>
        <v>1.8889236849778085E-2</v>
      </c>
      <c r="H202" s="9">
        <f>DAR!G202</f>
        <v>0.7157886893513169</v>
      </c>
      <c r="I202" s="1">
        <f>KAP!E202</f>
        <v>1</v>
      </c>
      <c r="J202" s="1">
        <f>OA!E202</f>
        <v>1</v>
      </c>
    </row>
    <row r="203" spans="1:10" ht="15.5" x14ac:dyDescent="0.35">
      <c r="A203" s="4">
        <v>202</v>
      </c>
      <c r="B203" s="17" t="s">
        <v>74</v>
      </c>
      <c r="C203" s="17" t="s">
        <v>75</v>
      </c>
      <c r="D203" s="4">
        <v>2022</v>
      </c>
      <c r="E203" s="1">
        <f>AUDELAY!G203</f>
        <v>88</v>
      </c>
      <c r="F203" s="9">
        <f>SIZE!F203</f>
        <v>30.439458944000311</v>
      </c>
      <c r="G203" s="9">
        <f>ROA!G203</f>
        <v>3.154270190516071E-2</v>
      </c>
      <c r="H203" s="9">
        <f>DAR!G203</f>
        <v>0.72550045563207866</v>
      </c>
      <c r="I203" s="1">
        <f>KAP!E203</f>
        <v>0</v>
      </c>
      <c r="J203" s="1">
        <f>OA!E203</f>
        <v>1</v>
      </c>
    </row>
    <row r="204" spans="1:10" ht="15.5" x14ac:dyDescent="0.35">
      <c r="A204" s="4">
        <v>203</v>
      </c>
      <c r="B204" s="17" t="s">
        <v>76</v>
      </c>
      <c r="C204" s="17" t="s">
        <v>77</v>
      </c>
      <c r="D204" s="4">
        <v>2022</v>
      </c>
      <c r="E204" s="1">
        <f>AUDELAY!G204</f>
        <v>20</v>
      </c>
      <c r="F204" s="9">
        <f>SIZE!F204</f>
        <v>34.568178746079447</v>
      </c>
      <c r="G204" s="9">
        <f>ROA!G204</f>
        <v>1.794628322379458E-2</v>
      </c>
      <c r="H204" s="9">
        <f>DAR!G204</f>
        <v>0.86386252611316283</v>
      </c>
      <c r="I204" s="1">
        <f>KAP!E204</f>
        <v>1</v>
      </c>
      <c r="J204" s="1">
        <f>OA!E204</f>
        <v>1</v>
      </c>
    </row>
    <row r="205" spans="1:10" ht="15.5" x14ac:dyDescent="0.35">
      <c r="A205" s="4">
        <v>204</v>
      </c>
      <c r="B205" s="17" t="s">
        <v>78</v>
      </c>
      <c r="C205" s="17" t="s">
        <v>79</v>
      </c>
      <c r="D205" s="4">
        <v>2022</v>
      </c>
      <c r="E205" s="1">
        <f>AUDELAY!G205</f>
        <v>37</v>
      </c>
      <c r="F205" s="9">
        <f>SIZE!F205</f>
        <v>35.162380022029055</v>
      </c>
      <c r="G205" s="9">
        <f>ROA!G205</f>
        <v>2.755528091149852E-2</v>
      </c>
      <c r="H205" s="9">
        <f>DAR!G205</f>
        <v>0.83737726571229876</v>
      </c>
      <c r="I205" s="1">
        <f>KAP!E205</f>
        <v>1</v>
      </c>
      <c r="J205" s="1">
        <f>OA!E205</f>
        <v>1</v>
      </c>
    </row>
    <row r="206" spans="1:10" ht="15.5" x14ac:dyDescent="0.35">
      <c r="A206" s="4">
        <v>205</v>
      </c>
      <c r="B206" s="17" t="s">
        <v>80</v>
      </c>
      <c r="C206" s="17" t="s">
        <v>81</v>
      </c>
      <c r="D206" s="4">
        <v>2022</v>
      </c>
      <c r="E206" s="1">
        <f>AUDELAY!G206</f>
        <v>48</v>
      </c>
      <c r="F206" s="9">
        <f>SIZE!F206</f>
        <v>33.627842071831047</v>
      </c>
      <c r="G206" s="9">
        <f>ROA!G206</f>
        <v>7.5720148739552582E-3</v>
      </c>
      <c r="H206" s="9">
        <f>DAR!G206</f>
        <v>0.87374899387865634</v>
      </c>
      <c r="I206" s="1">
        <f>KAP!E206</f>
        <v>1</v>
      </c>
      <c r="J206" s="1">
        <f>OA!E206</f>
        <v>1</v>
      </c>
    </row>
    <row r="207" spans="1:10" ht="15.5" x14ac:dyDescent="0.35">
      <c r="A207" s="4">
        <v>206</v>
      </c>
      <c r="B207" s="17" t="s">
        <v>84</v>
      </c>
      <c r="C207" s="17" t="s">
        <v>85</v>
      </c>
      <c r="D207" s="4">
        <v>2022</v>
      </c>
      <c r="E207" s="1">
        <f>AUDELAY!G207</f>
        <v>90</v>
      </c>
      <c r="F207" s="9">
        <f>SIZE!F207</f>
        <v>30.821753688591343</v>
      </c>
      <c r="G207" s="9">
        <f>ROA!G207</f>
        <v>6.089303782113119E-3</v>
      </c>
      <c r="H207" s="9">
        <f>DAR!G207</f>
        <v>0.74488788408007545</v>
      </c>
      <c r="I207" s="1">
        <f>KAP!E207</f>
        <v>0</v>
      </c>
      <c r="J207" s="1">
        <f>OA!E207</f>
        <v>1</v>
      </c>
    </row>
    <row r="208" spans="1:10" ht="15.5" x14ac:dyDescent="0.35">
      <c r="A208" s="4">
        <v>207</v>
      </c>
      <c r="B208" s="17" t="s">
        <v>88</v>
      </c>
      <c r="C208" s="17" t="s">
        <v>89</v>
      </c>
      <c r="D208" s="4">
        <v>2022</v>
      </c>
      <c r="E208" s="1">
        <f>AUDELAY!G208</f>
        <v>45</v>
      </c>
      <c r="F208" s="9">
        <f>SIZE!F208</f>
        <v>32.917922001750775</v>
      </c>
      <c r="G208" s="9">
        <f>ROA!G208</f>
        <v>1.7345088816404747E-2</v>
      </c>
      <c r="H208" s="9">
        <f>DAR!G208</f>
        <v>0.75988187469349566</v>
      </c>
      <c r="I208" s="1">
        <f>KAP!E208</f>
        <v>1</v>
      </c>
      <c r="J208" s="1">
        <f>OA!E208</f>
        <v>1</v>
      </c>
    </row>
    <row r="209" spans="1:10" ht="15.5" x14ac:dyDescent="0.35">
      <c r="A209" s="4">
        <v>208</v>
      </c>
      <c r="B209" s="17" t="s">
        <v>92</v>
      </c>
      <c r="C209" s="17" t="s">
        <v>93</v>
      </c>
      <c r="D209" s="4">
        <v>2022</v>
      </c>
      <c r="E209" s="1">
        <f>AUDELAY!G209</f>
        <v>72</v>
      </c>
      <c r="F209" s="9">
        <f>SIZE!F209</f>
        <v>30.718859988752591</v>
      </c>
      <c r="G209" s="9">
        <f>ROA!G209</f>
        <v>8.2385278295114273E-2</v>
      </c>
      <c r="H209" s="9">
        <f>DAR!G209</f>
        <v>0.59908546581306377</v>
      </c>
      <c r="I209" s="1">
        <f>KAP!E209</f>
        <v>0</v>
      </c>
      <c r="J209" s="1">
        <f>OA!E209</f>
        <v>1</v>
      </c>
    </row>
    <row r="210" spans="1:10" ht="15.5" x14ac:dyDescent="0.35">
      <c r="A210" s="4">
        <v>209</v>
      </c>
      <c r="B210" s="17" t="s">
        <v>94</v>
      </c>
      <c r="C210" s="17" t="s">
        <v>95</v>
      </c>
      <c r="D210" s="4">
        <v>2022</v>
      </c>
      <c r="E210" s="1">
        <f>AUDELAY!G210</f>
        <v>90</v>
      </c>
      <c r="F210" s="9">
        <f>SIZE!F210</f>
        <v>29.824698520590974</v>
      </c>
      <c r="G210" s="9">
        <f>ROA!G210</f>
        <v>5.1340680534140218E-3</v>
      </c>
      <c r="H210" s="9">
        <f>DAR!G210</f>
        <v>0.65000938880025405</v>
      </c>
      <c r="I210" s="1">
        <f>KAP!E210</f>
        <v>0</v>
      </c>
      <c r="J210" s="1">
        <f>OA!E210</f>
        <v>1</v>
      </c>
    </row>
    <row r="211" spans="1:10" ht="15.5" x14ac:dyDescent="0.35">
      <c r="A211" s="4">
        <v>210</v>
      </c>
      <c r="B211" s="17" t="s">
        <v>96</v>
      </c>
      <c r="C211" s="17" t="s">
        <v>97</v>
      </c>
      <c r="D211" s="4">
        <v>2022</v>
      </c>
      <c r="E211" s="1">
        <f>AUDELAY!G211</f>
        <v>89</v>
      </c>
      <c r="F211" s="9">
        <f>SIZE!F211</f>
        <v>30.652554460676352</v>
      </c>
      <c r="G211" s="9">
        <f>ROA!G211</f>
        <v>7.6523909872445858E-3</v>
      </c>
      <c r="H211" s="9">
        <f>DAR!G211</f>
        <v>0.84124494901654434</v>
      </c>
      <c r="I211" s="1">
        <f>KAP!E211</f>
        <v>0</v>
      </c>
      <c r="J211" s="1">
        <f>OA!E211</f>
        <v>1</v>
      </c>
    </row>
    <row r="212" spans="1:10" ht="15.5" x14ac:dyDescent="0.35">
      <c r="A212" s="4">
        <v>211</v>
      </c>
      <c r="B212" s="17" t="s">
        <v>98</v>
      </c>
      <c r="C212" s="17" t="s">
        <v>99</v>
      </c>
      <c r="D212" s="4">
        <v>2022</v>
      </c>
      <c r="E212" s="1">
        <f>AUDELAY!G212</f>
        <v>55</v>
      </c>
      <c r="F212" s="9">
        <f>SIZE!F212</f>
        <v>32.830850358853738</v>
      </c>
      <c r="G212" s="9">
        <f>ROA!G212</f>
        <v>1.2388358014951461E-2</v>
      </c>
      <c r="H212" s="9">
        <f>DAR!G212</f>
        <v>0.87243298769042643</v>
      </c>
      <c r="I212" s="1">
        <f>KAP!E212</f>
        <v>0</v>
      </c>
      <c r="J212" s="1">
        <f>OA!E212</f>
        <v>1</v>
      </c>
    </row>
    <row r="213" spans="1:10" ht="15.5" x14ac:dyDescent="0.35">
      <c r="A213" s="4">
        <v>212</v>
      </c>
      <c r="B213" s="17" t="s">
        <v>100</v>
      </c>
      <c r="C213" s="17" t="s">
        <v>101</v>
      </c>
      <c r="D213" s="4">
        <v>2022</v>
      </c>
      <c r="E213" s="1">
        <f>AUDELAY!G213</f>
        <v>89</v>
      </c>
      <c r="F213" s="9">
        <f>SIZE!F213</f>
        <v>30.336153883724442</v>
      </c>
      <c r="G213" s="9">
        <f>ROA!G213</f>
        <v>7.6851190818611028E-3</v>
      </c>
      <c r="H213" s="9">
        <f>DAR!G213</f>
        <v>0.78921165872125376</v>
      </c>
      <c r="I213" s="1">
        <f>KAP!E213</f>
        <v>1</v>
      </c>
      <c r="J213" s="1">
        <f>OA!E213</f>
        <v>1</v>
      </c>
    </row>
    <row r="214" spans="1:10" ht="15.5" x14ac:dyDescent="0.35">
      <c r="A214" s="4">
        <v>213</v>
      </c>
      <c r="B214" s="17" t="s">
        <v>102</v>
      </c>
      <c r="C214" s="17" t="s">
        <v>103</v>
      </c>
      <c r="D214" s="4">
        <v>2022</v>
      </c>
      <c r="E214" s="1">
        <f>AUDELAY!G214</f>
        <v>31</v>
      </c>
      <c r="F214" s="9">
        <f>SIZE!F214</f>
        <v>35.228188953944937</v>
      </c>
      <c r="G214" s="9">
        <f>ROA!G214</f>
        <v>2.2560280978029579E-2</v>
      </c>
      <c r="H214" s="9">
        <f>DAR!G214</f>
        <v>0.7749370144991885</v>
      </c>
      <c r="I214" s="1">
        <f>KAP!E214</f>
        <v>1</v>
      </c>
      <c r="J214" s="1">
        <f>OA!E214</f>
        <v>1</v>
      </c>
    </row>
    <row r="215" spans="1:10" ht="15.5" x14ac:dyDescent="0.35">
      <c r="A215" s="4">
        <v>214</v>
      </c>
      <c r="B215" s="17" t="s">
        <v>104</v>
      </c>
      <c r="C215" s="17" t="s">
        <v>105</v>
      </c>
      <c r="D215" s="4">
        <v>2022</v>
      </c>
      <c r="E215" s="1">
        <f>AUDELAY!G215</f>
        <v>67</v>
      </c>
      <c r="F215" s="9">
        <f>SIZE!F215</f>
        <v>29.736531370547844</v>
      </c>
      <c r="G215" s="9">
        <f>ROA!G215</f>
        <v>4.7421336032083556E-3</v>
      </c>
      <c r="H215" s="9">
        <f>DAR!G215</f>
        <v>0.62529963907414687</v>
      </c>
      <c r="I215" s="1">
        <f>KAP!E215</f>
        <v>1</v>
      </c>
      <c r="J215" s="1">
        <f>OA!E215</f>
        <v>1</v>
      </c>
    </row>
    <row r="216" spans="1:10" ht="15.5" x14ac:dyDescent="0.35">
      <c r="A216" s="4">
        <v>215</v>
      </c>
      <c r="B216" s="17" t="s">
        <v>106</v>
      </c>
      <c r="C216" s="17" t="s">
        <v>107</v>
      </c>
      <c r="D216" s="4">
        <v>2022</v>
      </c>
      <c r="E216" s="1">
        <f>AUDELAY!G216</f>
        <v>48</v>
      </c>
      <c r="F216" s="9">
        <f>SIZE!F216</f>
        <v>33.357068214091292</v>
      </c>
      <c r="G216" s="9">
        <f>ROA!G216</f>
        <v>1.6615157527099564E-2</v>
      </c>
      <c r="H216" s="9">
        <f>DAR!G216</f>
        <v>0.85240218915399779</v>
      </c>
      <c r="I216" s="1">
        <f>KAP!E216</f>
        <v>1</v>
      </c>
      <c r="J216" s="1">
        <f>OA!E216</f>
        <v>1</v>
      </c>
    </row>
    <row r="217" spans="1:10" ht="15.5" x14ac:dyDescent="0.35">
      <c r="A217" s="4">
        <v>216</v>
      </c>
      <c r="B217" s="17" t="s">
        <v>108</v>
      </c>
      <c r="C217" s="17" t="s">
        <v>109</v>
      </c>
      <c r="D217" s="4">
        <v>2022</v>
      </c>
      <c r="E217" s="1">
        <f>AUDELAY!G217</f>
        <v>47</v>
      </c>
      <c r="F217" s="9">
        <f>SIZE!F217</f>
        <v>32.71126902365414</v>
      </c>
      <c r="G217" s="9">
        <f>ROA!G217</f>
        <v>9.5340690598683126E-3</v>
      </c>
      <c r="H217" s="9">
        <f>DAR!G217</f>
        <v>0.81634705274701413</v>
      </c>
      <c r="I217" s="1">
        <f>KAP!E217</f>
        <v>1</v>
      </c>
      <c r="J217" s="1">
        <f>OA!E217</f>
        <v>1</v>
      </c>
    </row>
    <row r="218" spans="1:10" ht="15.5" x14ac:dyDescent="0.35">
      <c r="A218" s="4">
        <v>217</v>
      </c>
      <c r="B218" s="17" t="s">
        <v>110</v>
      </c>
      <c r="C218" s="17" t="s">
        <v>111</v>
      </c>
      <c r="D218" s="4">
        <v>2022</v>
      </c>
      <c r="E218" s="1">
        <f>AUDELAY!G218</f>
        <v>53</v>
      </c>
      <c r="F218" s="9">
        <f>SIZE!F218</f>
        <v>33.172725626592488</v>
      </c>
      <c r="G218" s="9">
        <f>ROA!G218</f>
        <v>7.8922562746844317E-3</v>
      </c>
      <c r="H218" s="9">
        <f>DAR!G218</f>
        <v>0.85254625596096401</v>
      </c>
      <c r="I218" s="1">
        <f>KAP!E218</f>
        <v>1</v>
      </c>
      <c r="J218" s="1">
        <f>OA!E218</f>
        <v>1</v>
      </c>
    </row>
    <row r="219" spans="1:10" ht="15.5" x14ac:dyDescent="0.35">
      <c r="A219" s="4">
        <v>218</v>
      </c>
      <c r="B219" s="17" t="s">
        <v>112</v>
      </c>
      <c r="C219" s="17" t="s">
        <v>113</v>
      </c>
      <c r="D219" s="4">
        <v>2022</v>
      </c>
      <c r="E219" s="1">
        <f>AUDELAY!G219</f>
        <v>76</v>
      </c>
      <c r="F219" s="9">
        <f>SIZE!F219</f>
        <v>27.905976796681244</v>
      </c>
      <c r="G219" s="9">
        <f>ROA!G219</f>
        <v>3.942197177942957E-2</v>
      </c>
      <c r="H219" s="9">
        <f>DAR!G219</f>
        <v>0.2551805884805104</v>
      </c>
      <c r="I219" s="1">
        <f>KAP!E219</f>
        <v>0</v>
      </c>
      <c r="J219" s="1">
        <f>OA!E219</f>
        <v>1</v>
      </c>
    </row>
    <row r="220" spans="1:10" ht="15.5" x14ac:dyDescent="0.35">
      <c r="A220" s="4">
        <v>219</v>
      </c>
      <c r="B220" s="17" t="s">
        <v>114</v>
      </c>
      <c r="C220" s="17" t="s">
        <v>241</v>
      </c>
      <c r="D220" s="4">
        <v>2022</v>
      </c>
      <c r="E220" s="1">
        <f>AUDELAY!G220</f>
        <v>89</v>
      </c>
      <c r="F220" s="9">
        <f>SIZE!F220</f>
        <v>28.818481679227556</v>
      </c>
      <c r="G220" s="9">
        <f>ROA!G220</f>
        <v>0.19219387551962577</v>
      </c>
      <c r="H220" s="9">
        <f>DAR!G220</f>
        <v>0.55114337133151092</v>
      </c>
      <c r="I220" s="1">
        <f>KAP!E220</f>
        <v>0</v>
      </c>
      <c r="J220" s="1">
        <f>OA!E220</f>
        <v>1</v>
      </c>
    </row>
    <row r="221" spans="1:10" ht="15.5" x14ac:dyDescent="0.35">
      <c r="A221" s="4">
        <v>220</v>
      </c>
      <c r="B221" s="17" t="s">
        <v>120</v>
      </c>
      <c r="C221" s="17" t="s">
        <v>121</v>
      </c>
      <c r="D221" s="4">
        <v>2022</v>
      </c>
      <c r="E221" s="1">
        <f>AUDELAY!G221</f>
        <v>55</v>
      </c>
      <c r="F221" s="9">
        <f>SIZE!F221</f>
        <v>32.974167019276486</v>
      </c>
      <c r="G221" s="9">
        <f>ROA!G221</f>
        <v>1.7352245237197448E-2</v>
      </c>
      <c r="H221" s="9">
        <f>DAR!G221</f>
        <v>0.76451520436248266</v>
      </c>
      <c r="I221" s="1">
        <f>KAP!E221</f>
        <v>1</v>
      </c>
      <c r="J221" s="1">
        <f>OA!E221</f>
        <v>1</v>
      </c>
    </row>
    <row r="222" spans="1:10" ht="15.5" x14ac:dyDescent="0.35">
      <c r="A222" s="4">
        <v>221</v>
      </c>
      <c r="B222" s="17" t="s">
        <v>128</v>
      </c>
      <c r="C222" s="17" t="s">
        <v>129</v>
      </c>
      <c r="D222" s="4">
        <v>2022</v>
      </c>
      <c r="E222" s="1">
        <f>AUDELAY!G222</f>
        <v>89</v>
      </c>
      <c r="F222" s="9">
        <f>SIZE!F222</f>
        <v>30.571143000363218</v>
      </c>
      <c r="G222" s="9">
        <f>ROA!G222</f>
        <v>7.1769695052666879E-2</v>
      </c>
      <c r="H222" s="9">
        <f>DAR!G222</f>
        <v>0.34838783407597107</v>
      </c>
      <c r="I222" s="1">
        <f>KAP!E222</f>
        <v>1</v>
      </c>
      <c r="J222" s="1">
        <f>OA!E222</f>
        <v>1</v>
      </c>
    </row>
    <row r="223" spans="1:10" ht="15.5" x14ac:dyDescent="0.35">
      <c r="A223" s="4">
        <v>222</v>
      </c>
      <c r="B223" s="17" t="s">
        <v>130</v>
      </c>
      <c r="C223" s="17" t="s">
        <v>131</v>
      </c>
      <c r="D223" s="4">
        <v>2022</v>
      </c>
      <c r="E223" s="1">
        <f>AUDELAY!G223</f>
        <v>90</v>
      </c>
      <c r="F223" s="9">
        <f>SIZE!F223</f>
        <v>29.360273953887521</v>
      </c>
      <c r="G223" s="9">
        <f>ROA!G223</f>
        <v>8.0582764904307529E-3</v>
      </c>
      <c r="H223" s="9">
        <f>DAR!G223</f>
        <v>0.54143705221078331</v>
      </c>
      <c r="I223" s="1">
        <f>KAP!E223</f>
        <v>1</v>
      </c>
      <c r="J223" s="1">
        <f>OA!E223</f>
        <v>1</v>
      </c>
    </row>
    <row r="224" spans="1:10" ht="15.5" x14ac:dyDescent="0.35">
      <c r="A224" s="4">
        <v>223</v>
      </c>
      <c r="B224" s="17" t="s">
        <v>140</v>
      </c>
      <c r="C224" s="17" t="s">
        <v>244</v>
      </c>
      <c r="D224" s="4">
        <v>2022</v>
      </c>
      <c r="E224" s="1">
        <f>AUDELAY!G224</f>
        <v>48</v>
      </c>
      <c r="F224" s="9">
        <f>SIZE!F224</f>
        <v>30.850814639582378</v>
      </c>
      <c r="G224" s="9">
        <f>ROA!G224</f>
        <v>5.4333715129465335E-3</v>
      </c>
      <c r="H224" s="9">
        <f>DAR!G224</f>
        <v>0.75225797690624285</v>
      </c>
      <c r="I224" s="1">
        <f>KAP!E224</f>
        <v>1</v>
      </c>
      <c r="J224" s="1">
        <f>OA!E224</f>
        <v>1</v>
      </c>
    </row>
    <row r="225" spans="1:10" ht="15.5" x14ac:dyDescent="0.35">
      <c r="A225" s="4">
        <v>224</v>
      </c>
      <c r="B225" s="17" t="s">
        <v>142</v>
      </c>
      <c r="C225" s="17" t="s">
        <v>143</v>
      </c>
      <c r="D225" s="4">
        <v>2022</v>
      </c>
      <c r="E225" s="1">
        <f>AUDELAY!G225</f>
        <v>88</v>
      </c>
      <c r="F225" s="9">
        <f>SIZE!F225</f>
        <v>32.82585934036959</v>
      </c>
      <c r="G225" s="9">
        <f>ROA!G225</f>
        <v>2.7629730337923753E-2</v>
      </c>
      <c r="H225" s="9">
        <f>DAR!G225</f>
        <v>0.81883414480706296</v>
      </c>
      <c r="I225" s="1">
        <f>KAP!E225</f>
        <v>0</v>
      </c>
      <c r="J225" s="1">
        <f>OA!E225</f>
        <v>1</v>
      </c>
    </row>
    <row r="226" spans="1:10" ht="15.5" x14ac:dyDescent="0.35">
      <c r="A226" s="4">
        <v>225</v>
      </c>
      <c r="B226" s="17" t="s">
        <v>144</v>
      </c>
      <c r="C226" s="17" t="s">
        <v>145</v>
      </c>
      <c r="D226" s="4">
        <v>2022</v>
      </c>
      <c r="E226" s="1">
        <f>AUDELAY!G226</f>
        <v>66</v>
      </c>
      <c r="F226" s="9">
        <f>SIZE!F226</f>
        <v>29.513289408389124</v>
      </c>
      <c r="G226" s="9">
        <f>ROA!G226</f>
        <v>0.1002550550081778</v>
      </c>
      <c r="H226" s="9">
        <f>DAR!G226</f>
        <v>0.50734419272189657</v>
      </c>
      <c r="I226" s="1">
        <f>KAP!E226</f>
        <v>1</v>
      </c>
      <c r="J226" s="1">
        <f>OA!E226</f>
        <v>1</v>
      </c>
    </row>
    <row r="227" spans="1:10" ht="15.5" x14ac:dyDescent="0.35">
      <c r="A227" s="4">
        <v>226</v>
      </c>
      <c r="B227" s="17" t="s">
        <v>154</v>
      </c>
      <c r="C227" s="17" t="s">
        <v>155</v>
      </c>
      <c r="D227" s="4">
        <v>2022</v>
      </c>
      <c r="E227" s="1">
        <f>AUDELAY!G227</f>
        <v>61</v>
      </c>
      <c r="F227" s="9">
        <f>SIZE!F227</f>
        <v>28.374024762386597</v>
      </c>
      <c r="G227" s="9">
        <f>ROA!G227</f>
        <v>0.12159855939830373</v>
      </c>
      <c r="H227" s="9">
        <f>DAR!G227</f>
        <v>0.23865330344598945</v>
      </c>
      <c r="I227" s="1">
        <f>KAP!E227</f>
        <v>0</v>
      </c>
      <c r="J227" s="1">
        <f>OA!E227</f>
        <v>1</v>
      </c>
    </row>
    <row r="228" spans="1:10" ht="15.5" x14ac:dyDescent="0.35">
      <c r="A228" s="4">
        <v>227</v>
      </c>
      <c r="B228" s="17" t="s">
        <v>160</v>
      </c>
      <c r="C228" s="17" t="s">
        <v>161</v>
      </c>
      <c r="D228" s="4">
        <v>2022</v>
      </c>
      <c r="E228" s="1">
        <f>AUDELAY!G228</f>
        <v>112</v>
      </c>
      <c r="F228" s="9">
        <f>SIZE!F228</f>
        <v>31.153509683596575</v>
      </c>
      <c r="G228" s="9">
        <f>ROA!G228</f>
        <v>5.8604386693424187E-2</v>
      </c>
      <c r="H228" s="9">
        <f>DAR!G228</f>
        <v>0.12213646335863582</v>
      </c>
      <c r="I228" s="1">
        <f>KAP!E228</f>
        <v>1</v>
      </c>
      <c r="J228" s="1">
        <f>OA!E228</f>
        <v>1</v>
      </c>
    </row>
    <row r="229" spans="1:10" ht="15.5" x14ac:dyDescent="0.35">
      <c r="A229" s="4">
        <v>228</v>
      </c>
      <c r="B229" s="17" t="s">
        <v>164</v>
      </c>
      <c r="C229" s="17" t="s">
        <v>165</v>
      </c>
      <c r="D229" s="4">
        <v>2022</v>
      </c>
      <c r="E229" s="1">
        <f>AUDELAY!G229</f>
        <v>90</v>
      </c>
      <c r="F229" s="9">
        <f>SIZE!F229</f>
        <v>31.206027452559177</v>
      </c>
      <c r="G229" s="9">
        <f>ROA!G229</f>
        <v>6.7342269319714418E-2</v>
      </c>
      <c r="H229" s="9">
        <f>DAR!G229</f>
        <v>0.11594934137131895</v>
      </c>
      <c r="I229" s="1">
        <f>KAP!E229</f>
        <v>0</v>
      </c>
      <c r="J229" s="1">
        <f>OA!E229</f>
        <v>1</v>
      </c>
    </row>
    <row r="230" spans="1:10" ht="15.5" x14ac:dyDescent="0.35">
      <c r="A230" s="4">
        <v>229</v>
      </c>
      <c r="B230" s="17" t="s">
        <v>166</v>
      </c>
      <c r="C230" s="17" t="s">
        <v>167</v>
      </c>
      <c r="D230" s="4">
        <v>2022</v>
      </c>
      <c r="E230" s="1">
        <f>AUDELAY!G230</f>
        <v>89</v>
      </c>
      <c r="F230" s="9">
        <f>SIZE!F230</f>
        <v>31.153509683596575</v>
      </c>
      <c r="G230" s="9">
        <f>ROA!G230</f>
        <v>5.8604386693424187E-2</v>
      </c>
      <c r="H230" s="9">
        <f>DAR!G230</f>
        <v>0.12213646335863582</v>
      </c>
      <c r="I230" s="1">
        <f>KAP!E230</f>
        <v>0</v>
      </c>
      <c r="J230" s="1">
        <f>OA!E230</f>
        <v>1</v>
      </c>
    </row>
    <row r="231" spans="1:10" ht="15.5" x14ac:dyDescent="0.35">
      <c r="A231" s="4">
        <v>230</v>
      </c>
      <c r="B231" s="17" t="s">
        <v>170</v>
      </c>
      <c r="C231" s="17" t="s">
        <v>245</v>
      </c>
      <c r="D231" s="4">
        <v>2022</v>
      </c>
      <c r="E231" s="1">
        <f>AUDELAY!G231</f>
        <v>59</v>
      </c>
      <c r="F231" s="9">
        <f>SIZE!F231</f>
        <v>31.572591739069672</v>
      </c>
      <c r="G231" s="9">
        <f>ROA!G231</f>
        <v>1.6710303400674927E-2</v>
      </c>
      <c r="H231" s="9">
        <f>DAR!G231</f>
        <v>0.80716768793375238</v>
      </c>
      <c r="I231" s="1">
        <f>KAP!E231</f>
        <v>1</v>
      </c>
      <c r="J231" s="1">
        <f>OA!E231</f>
        <v>1</v>
      </c>
    </row>
    <row r="232" spans="1:10" ht="15.5" x14ac:dyDescent="0.35">
      <c r="A232" s="4">
        <v>231</v>
      </c>
      <c r="B232" s="17" t="s">
        <v>172</v>
      </c>
      <c r="C232" s="17" t="s">
        <v>173</v>
      </c>
      <c r="D232" s="4">
        <v>2022</v>
      </c>
      <c r="E232" s="1">
        <f>AUDELAY!G232</f>
        <v>69</v>
      </c>
      <c r="F232" s="9">
        <f>SIZE!F232</f>
        <v>31.786322009651226</v>
      </c>
      <c r="G232" s="9">
        <f>ROA!G232</f>
        <v>7.2544136337513124E-2</v>
      </c>
      <c r="H232" s="9">
        <f>DAR!G232</f>
        <v>6.2014139622697723E-2</v>
      </c>
      <c r="I232" s="1">
        <f>KAP!E232</f>
        <v>1</v>
      </c>
      <c r="J232" s="1">
        <f>OA!E232</f>
        <v>1</v>
      </c>
    </row>
    <row r="233" spans="1:10" ht="15.5" x14ac:dyDescent="0.35">
      <c r="A233" s="4">
        <v>232</v>
      </c>
      <c r="B233" s="17" t="s">
        <v>174</v>
      </c>
      <c r="C233" s="17" t="s">
        <v>175</v>
      </c>
      <c r="D233" s="4">
        <v>2022</v>
      </c>
      <c r="E233" s="1">
        <f>AUDELAY!G233</f>
        <v>60</v>
      </c>
      <c r="F233" s="9">
        <f>SIZE!F233</f>
        <v>28.377630171205087</v>
      </c>
      <c r="G233" s="9">
        <f>ROA!G233</f>
        <v>8.4146051002400787E-2</v>
      </c>
      <c r="H233" s="9">
        <f>DAR!G233</f>
        <v>0.49959373714460198</v>
      </c>
      <c r="I233" s="1">
        <f>KAP!E233</f>
        <v>1</v>
      </c>
      <c r="J233" s="1">
        <f>OA!E233</f>
        <v>1</v>
      </c>
    </row>
    <row r="234" spans="1:10" ht="15.5" x14ac:dyDescent="0.35">
      <c r="A234" s="4">
        <v>233</v>
      </c>
      <c r="B234" s="17" t="s">
        <v>176</v>
      </c>
      <c r="C234" s="17" t="s">
        <v>177</v>
      </c>
      <c r="D234" s="4">
        <v>2022</v>
      </c>
      <c r="E234" s="1">
        <f>AUDELAY!G234</f>
        <v>76</v>
      </c>
      <c r="F234" s="9">
        <f>SIZE!F234</f>
        <v>26.649332827384764</v>
      </c>
      <c r="G234" s="9">
        <f>ROA!G234</f>
        <v>6.3766754386433144E-2</v>
      </c>
      <c r="H234" s="9">
        <f>DAR!G234</f>
        <v>6.3030121864641103E-2</v>
      </c>
      <c r="I234" s="1">
        <f>KAP!E234</f>
        <v>0</v>
      </c>
      <c r="J234" s="1">
        <f>OA!E234</f>
        <v>1</v>
      </c>
    </row>
    <row r="235" spans="1:10" ht="15.5" x14ac:dyDescent="0.35">
      <c r="A235" s="4">
        <v>234</v>
      </c>
      <c r="B235" s="17" t="s">
        <v>184</v>
      </c>
      <c r="C235" s="17" t="s">
        <v>246</v>
      </c>
      <c r="D235" s="4">
        <v>2022</v>
      </c>
      <c r="E235" s="1">
        <f>AUDELAY!G235</f>
        <v>46</v>
      </c>
      <c r="F235" s="9">
        <f>SIZE!F235</f>
        <v>29.362008473297379</v>
      </c>
      <c r="G235" s="9">
        <f>ROA!G235</f>
        <v>3.4997359298051478E-2</v>
      </c>
      <c r="H235" s="9">
        <f>DAR!G235</f>
        <v>0.7316735107663066</v>
      </c>
      <c r="I235" s="1">
        <f>KAP!E235</f>
        <v>1</v>
      </c>
      <c r="J235" s="1">
        <f>OA!E235</f>
        <v>1</v>
      </c>
    </row>
    <row r="236" spans="1:10" ht="15.5" x14ac:dyDescent="0.35">
      <c r="A236" s="4">
        <v>235</v>
      </c>
      <c r="B236" s="17" t="s">
        <v>188</v>
      </c>
      <c r="C236" s="17" t="s">
        <v>189</v>
      </c>
      <c r="D236" s="4">
        <v>2022</v>
      </c>
      <c r="E236" s="1">
        <f>AUDELAY!G236</f>
        <v>90</v>
      </c>
      <c r="F236" s="9">
        <f>SIZE!F236</f>
        <v>31.184585244297914</v>
      </c>
      <c r="G236" s="9">
        <f>ROA!G236</f>
        <v>9.9857981159448246E-4</v>
      </c>
      <c r="H236" s="9">
        <f>DAR!G236</f>
        <v>0.64970628507072237</v>
      </c>
      <c r="I236" s="1">
        <f>KAP!E236</f>
        <v>0</v>
      </c>
      <c r="J236" s="1">
        <f>OA!E236</f>
        <v>1</v>
      </c>
    </row>
    <row r="237" spans="1:10" ht="15.5" x14ac:dyDescent="0.35">
      <c r="A237" s="4">
        <v>236</v>
      </c>
      <c r="B237" s="17" t="s">
        <v>190</v>
      </c>
      <c r="C237" s="17" t="s">
        <v>191</v>
      </c>
      <c r="D237" s="4">
        <v>2022</v>
      </c>
      <c r="E237" s="1">
        <f>AUDELAY!G237</f>
        <v>30</v>
      </c>
      <c r="F237" s="9">
        <f>SIZE!F237</f>
        <v>33.353715095459059</v>
      </c>
      <c r="G237" s="9">
        <f>ROA!G237</f>
        <v>1.3934575280089843E-2</v>
      </c>
      <c r="H237" s="9">
        <f>DAR!G237</f>
        <v>0.24091979274689765</v>
      </c>
      <c r="I237" s="1">
        <f>KAP!E237</f>
        <v>1</v>
      </c>
      <c r="J237" s="1">
        <f>OA!E237</f>
        <v>1</v>
      </c>
    </row>
    <row r="238" spans="1:10" ht="15.5" x14ac:dyDescent="0.35">
      <c r="A238" s="4">
        <v>237</v>
      </c>
      <c r="B238" s="17" t="s">
        <v>198</v>
      </c>
      <c r="C238" s="17" t="s">
        <v>199</v>
      </c>
      <c r="D238" s="4">
        <v>2022</v>
      </c>
      <c r="E238" s="1">
        <f>AUDELAY!G238</f>
        <v>41</v>
      </c>
      <c r="F238" s="9">
        <f>SIZE!F238</f>
        <v>30.683227102301569</v>
      </c>
      <c r="G238" s="9">
        <f>ROA!G238</f>
        <v>8.4093281270142262E-2</v>
      </c>
      <c r="H238" s="9">
        <f>DAR!G238</f>
        <v>0.137544811505315</v>
      </c>
      <c r="I238" s="1">
        <f>KAP!E238</f>
        <v>1</v>
      </c>
      <c r="J238" s="1">
        <f>OA!E238</f>
        <v>1</v>
      </c>
    </row>
    <row r="239" spans="1:10" ht="15.5" x14ac:dyDescent="0.35">
      <c r="A239" s="4">
        <v>238</v>
      </c>
      <c r="B239" s="17" t="s">
        <v>200</v>
      </c>
      <c r="C239" s="17" t="s">
        <v>201</v>
      </c>
      <c r="D239" s="4">
        <v>2022</v>
      </c>
      <c r="E239" s="1">
        <f>AUDELAY!G239</f>
        <v>87</v>
      </c>
      <c r="F239" s="9">
        <f>SIZE!F239</f>
        <v>30.702848568275446</v>
      </c>
      <c r="G239" s="9">
        <f>ROA!G239</f>
        <v>1.8307759027175085E-2</v>
      </c>
      <c r="H239" s="9">
        <f>DAR!G239</f>
        <v>0.57499798547404535</v>
      </c>
      <c r="I239" s="1">
        <f>KAP!E239</f>
        <v>1</v>
      </c>
      <c r="J239" s="1">
        <f>OA!E239</f>
        <v>1</v>
      </c>
    </row>
    <row r="240" spans="1:10" ht="15.5" x14ac:dyDescent="0.35">
      <c r="A240" s="4">
        <v>239</v>
      </c>
      <c r="B240" s="17" t="s">
        <v>206</v>
      </c>
      <c r="C240" s="17" t="s">
        <v>207</v>
      </c>
      <c r="D240" s="4">
        <v>2022</v>
      </c>
      <c r="E240" s="1">
        <f>AUDELAY!G240</f>
        <v>24</v>
      </c>
      <c r="F240" s="9">
        <f>SIZE!F240</f>
        <v>26.697281534448798</v>
      </c>
      <c r="G240" s="9">
        <f>ROA!G240</f>
        <v>0.30139335149752849</v>
      </c>
      <c r="H240" s="9">
        <f>DAR!G240</f>
        <v>0.21263047565260088</v>
      </c>
      <c r="I240" s="1">
        <f>KAP!E240</f>
        <v>0</v>
      </c>
      <c r="J240" s="1">
        <f>OA!E240</f>
        <v>1</v>
      </c>
    </row>
    <row r="241" spans="1:10" ht="15.5" x14ac:dyDescent="0.35">
      <c r="A241" s="4">
        <v>240</v>
      </c>
      <c r="B241" s="17" t="s">
        <v>208</v>
      </c>
      <c r="C241" s="17" t="s">
        <v>209</v>
      </c>
      <c r="D241" s="4">
        <v>2022</v>
      </c>
      <c r="E241" s="1">
        <f>AUDELAY!G241</f>
        <v>90</v>
      </c>
      <c r="F241" s="9">
        <f>SIZE!F241</f>
        <v>28.829053232971642</v>
      </c>
      <c r="G241" s="9">
        <f>ROA!G241</f>
        <v>2.2577449937239015E-2</v>
      </c>
      <c r="H241" s="9">
        <f>DAR!G241</f>
        <v>7.4918322871577112E-2</v>
      </c>
      <c r="I241" s="1">
        <f>KAP!E241</f>
        <v>0</v>
      </c>
      <c r="J241" s="1">
        <f>OA!E241</f>
        <v>1</v>
      </c>
    </row>
    <row r="242" spans="1:10" ht="15.5" x14ac:dyDescent="0.35">
      <c r="A242" s="4">
        <v>241</v>
      </c>
      <c r="B242" s="17" t="s">
        <v>218</v>
      </c>
      <c r="C242" s="17" t="s">
        <v>219</v>
      </c>
      <c r="D242" s="4">
        <v>2022</v>
      </c>
      <c r="E242" s="1">
        <f>AUDELAY!G242</f>
        <v>89</v>
      </c>
      <c r="F242" s="9">
        <f>SIZE!F242</f>
        <v>27.669193058343819</v>
      </c>
      <c r="G242" s="9">
        <f>ROA!G242</f>
        <v>3.1976825663836399E-3</v>
      </c>
      <c r="H242" s="9">
        <f>DAR!G242</f>
        <v>0.47890866506321839</v>
      </c>
      <c r="I242" s="1">
        <f>KAP!E242</f>
        <v>0</v>
      </c>
      <c r="J242" s="1">
        <f>OA!E242</f>
        <v>1</v>
      </c>
    </row>
    <row r="243" spans="1:10" ht="15.5" x14ac:dyDescent="0.35">
      <c r="A243" s="4">
        <v>242</v>
      </c>
      <c r="B243" s="17" t="s">
        <v>220</v>
      </c>
      <c r="C243" s="17" t="s">
        <v>221</v>
      </c>
      <c r="D243" s="4">
        <v>2022</v>
      </c>
      <c r="E243" s="1">
        <f>AUDELAY!G243</f>
        <v>89</v>
      </c>
      <c r="F243" s="9">
        <f>SIZE!F243</f>
        <v>32.370781659889381</v>
      </c>
      <c r="G243" s="9">
        <f>ROA!G243</f>
        <v>7.8841465397822535E-3</v>
      </c>
      <c r="H243" s="9">
        <f>DAR!G243</f>
        <v>0.7930624807337725</v>
      </c>
      <c r="I243" s="1">
        <f>KAP!E243</f>
        <v>0</v>
      </c>
      <c r="J243" s="1">
        <f>OA!E243</f>
        <v>1</v>
      </c>
    </row>
    <row r="244" spans="1:10" ht="15.5" x14ac:dyDescent="0.35">
      <c r="A244" s="4">
        <v>243</v>
      </c>
      <c r="B244" s="17" t="s">
        <v>222</v>
      </c>
      <c r="C244" s="17" t="s">
        <v>223</v>
      </c>
      <c r="D244" s="4">
        <v>2022</v>
      </c>
      <c r="E244" s="1">
        <f>AUDELAY!G244</f>
        <v>88</v>
      </c>
      <c r="F244" s="9">
        <f>SIZE!F244</f>
        <v>26.956474353911148</v>
      </c>
      <c r="G244" s="9">
        <f>ROA!G244</f>
        <v>3.4352272042233018E-3</v>
      </c>
      <c r="H244" s="9">
        <f>DAR!G244</f>
        <v>2.4802845065097583E-3</v>
      </c>
      <c r="I244" s="1">
        <f>KAP!E244</f>
        <v>0</v>
      </c>
      <c r="J244" s="1">
        <f>OA!E244</f>
        <v>1</v>
      </c>
    </row>
    <row r="245" spans="1:10" ht="15.5" x14ac:dyDescent="0.35">
      <c r="A245" s="4">
        <v>244</v>
      </c>
      <c r="B245" s="17" t="s">
        <v>224</v>
      </c>
      <c r="C245" s="17" t="s">
        <v>225</v>
      </c>
      <c r="D245" s="4">
        <v>2022</v>
      </c>
      <c r="E245" s="1">
        <f>AUDELAY!G245</f>
        <v>69</v>
      </c>
      <c r="F245" s="9">
        <f>SIZE!F245</f>
        <v>28.101923380031007</v>
      </c>
      <c r="G245" s="9">
        <f>ROA!G245</f>
        <v>3.5533211141272066E-2</v>
      </c>
      <c r="H245" s="9">
        <f>DAR!G245</f>
        <v>0.31928453707889026</v>
      </c>
      <c r="I245" s="1">
        <f>KAP!E245</f>
        <v>0</v>
      </c>
      <c r="J245" s="1">
        <f>OA!E245</f>
        <v>1</v>
      </c>
    </row>
    <row r="246" spans="1:10" ht="15.5" x14ac:dyDescent="0.35">
      <c r="A246" s="4">
        <v>245</v>
      </c>
      <c r="B246" s="17" t="s">
        <v>226</v>
      </c>
      <c r="C246" s="17" t="s">
        <v>227</v>
      </c>
      <c r="D246" s="4">
        <v>2022</v>
      </c>
      <c r="E246" s="1">
        <f>AUDELAY!G246</f>
        <v>88</v>
      </c>
      <c r="F246" s="9">
        <f>SIZE!F246</f>
        <v>30.688381140675435</v>
      </c>
      <c r="G246" s="9">
        <f>ROA!G246</f>
        <v>1.4319851118588214E-2</v>
      </c>
      <c r="H246" s="9">
        <f>DAR!G246</f>
        <v>0.83930896353227036</v>
      </c>
      <c r="I246" s="1">
        <f>KAP!E246</f>
        <v>0</v>
      </c>
      <c r="J246" s="1">
        <f>OA!E246</f>
        <v>1</v>
      </c>
    </row>
    <row r="247" spans="1:10" ht="15.5" x14ac:dyDescent="0.35">
      <c r="A247" s="4">
        <v>246</v>
      </c>
      <c r="B247" s="17" t="s">
        <v>228</v>
      </c>
      <c r="C247" s="17" t="s">
        <v>229</v>
      </c>
      <c r="D247" s="4">
        <v>2022</v>
      </c>
      <c r="E247" s="1">
        <f>AUDELAY!G247</f>
        <v>104</v>
      </c>
      <c r="F247" s="9">
        <f>SIZE!F247</f>
        <v>28.117907462752491</v>
      </c>
      <c r="G247" s="9">
        <f>ROA!G247</f>
        <v>5.3155914332971774E-2</v>
      </c>
      <c r="H247" s="9">
        <f>DAR!G247</f>
        <v>0.62260197781729665</v>
      </c>
      <c r="I247" s="1">
        <f>KAP!E247</f>
        <v>0</v>
      </c>
      <c r="J247" s="1">
        <f>OA!E247</f>
        <v>1</v>
      </c>
    </row>
    <row r="248" spans="1:10" ht="15.5" x14ac:dyDescent="0.35">
      <c r="A248" s="4">
        <v>247</v>
      </c>
      <c r="B248" s="17" t="s">
        <v>230</v>
      </c>
      <c r="C248" s="17" t="s">
        <v>231</v>
      </c>
      <c r="D248" s="4">
        <v>2022</v>
      </c>
      <c r="E248" s="1">
        <f>AUDELAY!G248</f>
        <v>89</v>
      </c>
      <c r="F248" s="9">
        <f>SIZE!F248</f>
        <v>30.456105212892723</v>
      </c>
      <c r="G248" s="9">
        <f>ROA!G248</f>
        <v>3.113739159808148E-3</v>
      </c>
      <c r="H248" s="9">
        <f>DAR!G248</f>
        <v>0.83914864126694466</v>
      </c>
      <c r="I248" s="1">
        <f>KAP!E248</f>
        <v>0</v>
      </c>
      <c r="J248" s="1">
        <f>OA!E248</f>
        <v>1</v>
      </c>
    </row>
    <row r="249" spans="1:10" ht="15.5" x14ac:dyDescent="0.35">
      <c r="A249" s="4">
        <v>248</v>
      </c>
      <c r="B249" s="17" t="s">
        <v>232</v>
      </c>
      <c r="C249" s="17" t="s">
        <v>233</v>
      </c>
      <c r="D249" s="4">
        <v>2022</v>
      </c>
      <c r="E249" s="1">
        <f>AUDELAY!G249</f>
        <v>89</v>
      </c>
      <c r="F249" s="9">
        <f>SIZE!F249</f>
        <v>30.65769477919871</v>
      </c>
      <c r="G249" s="9">
        <f>ROA!G249</f>
        <v>1.5575053175216173E-3</v>
      </c>
      <c r="H249" s="9">
        <f>DAR!G249</f>
        <v>0.84063131877590136</v>
      </c>
      <c r="I249" s="1">
        <f>KAP!E249</f>
        <v>0</v>
      </c>
      <c r="J249" s="1">
        <f>OA!E249</f>
        <v>1</v>
      </c>
    </row>
    <row r="250" spans="1:10" ht="15.5" x14ac:dyDescent="0.35">
      <c r="A250" s="4"/>
      <c r="B250" s="17"/>
      <c r="C250" s="17"/>
      <c r="D250" s="4"/>
      <c r="E250" s="1"/>
      <c r="F250" s="9"/>
      <c r="G250" s="9"/>
      <c r="H250" s="9"/>
      <c r="I250" s="1"/>
      <c r="J250" s="1"/>
    </row>
    <row r="251" spans="1:10" ht="15.5" x14ac:dyDescent="0.35">
      <c r="A251" s="4"/>
      <c r="B251" s="17"/>
      <c r="C251" s="17"/>
      <c r="D251" s="4"/>
      <c r="E251" s="1"/>
      <c r="F251" s="9"/>
      <c r="G251" s="9"/>
      <c r="H251" s="9"/>
      <c r="I251" s="1"/>
      <c r="J251" s="1"/>
    </row>
    <row r="252" spans="1:10" ht="15.5" x14ac:dyDescent="0.35">
      <c r="A252" s="4"/>
      <c r="B252" s="17"/>
      <c r="C252" s="17"/>
      <c r="D252" s="4"/>
      <c r="E252" s="1"/>
      <c r="F252" s="9"/>
      <c r="G252" s="9"/>
      <c r="H252" s="9"/>
      <c r="I252" s="1"/>
      <c r="J252" s="1"/>
    </row>
    <row r="253" spans="1:10" ht="15.5" x14ac:dyDescent="0.35">
      <c r="A253" s="4"/>
      <c r="B253" s="17"/>
      <c r="C253" s="17"/>
      <c r="D253" s="4"/>
      <c r="E253" s="1"/>
      <c r="F253" s="9"/>
      <c r="G253" s="9"/>
      <c r="H253" s="9"/>
      <c r="I253" s="1"/>
      <c r="J253" s="1"/>
    </row>
    <row r="254" spans="1:10" ht="15.5" x14ac:dyDescent="0.35">
      <c r="A254" s="4"/>
      <c r="B254" s="17"/>
      <c r="C254" s="17"/>
      <c r="D254" s="4"/>
      <c r="E254" s="1"/>
      <c r="F254" s="9"/>
      <c r="G254" s="9"/>
      <c r="H254" s="9"/>
      <c r="I254" s="1"/>
      <c r="J254" s="1"/>
    </row>
    <row r="255" spans="1:10" ht="15.5" x14ac:dyDescent="0.35">
      <c r="A255" s="4"/>
      <c r="B255" s="17"/>
      <c r="C255" s="17"/>
      <c r="D255" s="4"/>
      <c r="E255" s="1"/>
      <c r="F255" s="9"/>
      <c r="G255" s="9"/>
      <c r="H255" s="9"/>
      <c r="I255" s="1"/>
      <c r="J255" s="1"/>
    </row>
    <row r="256" spans="1:10" ht="15.5" x14ac:dyDescent="0.35">
      <c r="A256" s="4"/>
      <c r="B256" s="17"/>
      <c r="C256" s="17"/>
      <c r="D256" s="4"/>
      <c r="E256" s="1"/>
      <c r="F256" s="9"/>
      <c r="G256" s="9"/>
      <c r="H256" s="9"/>
      <c r="I256" s="1"/>
      <c r="J256" s="1"/>
    </row>
    <row r="257" spans="1:10" ht="15.5" x14ac:dyDescent="0.35">
      <c r="A257" s="4"/>
      <c r="B257" s="51"/>
      <c r="C257" s="51"/>
      <c r="D257" s="50"/>
      <c r="E257" s="1"/>
      <c r="F257" s="9"/>
      <c r="G257" s="9"/>
      <c r="H257" s="9"/>
      <c r="I257" s="1"/>
      <c r="J257" s="1"/>
    </row>
    <row r="258" spans="1:10" ht="15.5" x14ac:dyDescent="0.35">
      <c r="A258" s="4"/>
      <c r="B258" s="17"/>
      <c r="C258" s="17"/>
      <c r="D258" s="4"/>
      <c r="E258" s="1"/>
      <c r="F258" s="9"/>
      <c r="G258" s="9"/>
      <c r="H258" s="9"/>
      <c r="I258" s="1"/>
      <c r="J258" s="1"/>
    </row>
    <row r="259" spans="1:10" ht="15.5" x14ac:dyDescent="0.35">
      <c r="A259" s="4"/>
      <c r="B259" s="17"/>
      <c r="C259" s="17"/>
      <c r="D259" s="4"/>
      <c r="E259" s="1"/>
      <c r="F259" s="9"/>
      <c r="G259" s="9"/>
      <c r="H259" s="9"/>
      <c r="I259" s="1"/>
      <c r="J259" s="1"/>
    </row>
    <row r="260" spans="1:10" ht="15.5" x14ac:dyDescent="0.35">
      <c r="A260" s="4"/>
      <c r="B260" s="17"/>
      <c r="C260" s="17"/>
      <c r="D260" s="4"/>
      <c r="E260" s="1"/>
      <c r="F260" s="9"/>
      <c r="G260" s="9"/>
      <c r="H260" s="9"/>
      <c r="I260" s="1"/>
      <c r="J260" s="1"/>
    </row>
    <row r="261" spans="1:10" ht="15.5" x14ac:dyDescent="0.35">
      <c r="A261" s="4"/>
      <c r="B261" s="17"/>
      <c r="C261" s="17"/>
      <c r="D261" s="4"/>
      <c r="E261" s="1"/>
      <c r="F261" s="9"/>
      <c r="G261" s="9"/>
      <c r="H261" s="9"/>
      <c r="I261" s="1"/>
      <c r="J261" s="1"/>
    </row>
    <row r="262" spans="1:10" ht="15.5" x14ac:dyDescent="0.35">
      <c r="A262" s="4"/>
      <c r="B262" s="17"/>
      <c r="C262" s="17"/>
      <c r="D262" s="4"/>
      <c r="E262" s="1"/>
      <c r="F262" s="9"/>
      <c r="G262" s="9"/>
      <c r="H262" s="9"/>
      <c r="I262" s="1"/>
      <c r="J262" s="1"/>
    </row>
    <row r="263" spans="1:10" ht="15.5" x14ac:dyDescent="0.35">
      <c r="A263" s="4"/>
      <c r="B263" s="17"/>
      <c r="C263" s="17"/>
      <c r="D263" s="4"/>
      <c r="E263" s="1"/>
      <c r="F263" s="9"/>
      <c r="G263" s="9"/>
      <c r="H263" s="9"/>
      <c r="I263" s="1"/>
      <c r="J263" s="1"/>
    </row>
    <row r="264" spans="1:10" ht="15.5" x14ac:dyDescent="0.35">
      <c r="A264" s="4"/>
      <c r="B264" s="17"/>
      <c r="C264" s="17"/>
      <c r="D264" s="4"/>
      <c r="E264" s="1"/>
      <c r="F264" s="9"/>
      <c r="G264" s="9"/>
      <c r="H264" s="9"/>
      <c r="I264" s="1"/>
      <c r="J264" s="1"/>
    </row>
    <row r="265" spans="1:10" ht="15.5" x14ac:dyDescent="0.35">
      <c r="A265" s="4"/>
      <c r="B265" s="17"/>
      <c r="C265" s="17"/>
      <c r="D265" s="4"/>
      <c r="E265" s="1"/>
      <c r="F265" s="9"/>
      <c r="G265" s="9"/>
      <c r="H265" s="9"/>
      <c r="I265" s="1"/>
      <c r="J26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Daftar Perusahaan</vt:lpstr>
      <vt:lpstr>Kriteria 1</vt:lpstr>
      <vt:lpstr>Kriteria 2</vt:lpstr>
      <vt:lpstr>Kriteria 3</vt:lpstr>
      <vt:lpstr>Kriteria 4</vt:lpstr>
      <vt:lpstr>AUDELAY</vt:lpstr>
      <vt:lpstr>SIZE</vt:lpstr>
      <vt:lpstr>ROA</vt:lpstr>
      <vt:lpstr>DAR</vt:lpstr>
      <vt:lpstr>KAP</vt:lpstr>
      <vt:lpstr>OA</vt:lpstr>
      <vt:lpstr>Tabulasi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2022-03-27T11:13:44Z</dcterms:created>
  <dcterms:modified xsi:type="dcterms:W3CDTF">2024-01-19T10:42:50Z</dcterms:modified>
</cp:coreProperties>
</file>